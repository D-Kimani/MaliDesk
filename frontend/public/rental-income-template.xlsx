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4" activeTab="17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tement" sheetId="2" state="visible" r:id="rId2"/>
    <sheet xmlns:r="http://schemas.openxmlformats.org/officeDocument/2006/relationships" name="Archive" sheetId="3" state="visible" r:id="rId3"/>
    <sheet xmlns:r="http://schemas.openxmlformats.org/officeDocument/2006/relationships" name="Instructions" sheetId="4" state="visible" r:id="rId4"/>
    <sheet xmlns:r="http://schemas.openxmlformats.org/officeDocument/2006/relationships" name="A1" sheetId="5" state="visible" r:id="rId5"/>
    <sheet xmlns:r="http://schemas.openxmlformats.org/officeDocument/2006/relationships" name="A2" sheetId="6" state="visible" r:id="rId6"/>
    <sheet xmlns:r="http://schemas.openxmlformats.org/officeDocument/2006/relationships" name="A3" sheetId="7" state="visible" r:id="rId7"/>
    <sheet xmlns:r="http://schemas.openxmlformats.org/officeDocument/2006/relationships" name="A4" sheetId="8" state="visible" r:id="rId8"/>
    <sheet xmlns:r="http://schemas.openxmlformats.org/officeDocument/2006/relationships" name="A5" sheetId="9" state="visible" r:id="rId9"/>
    <sheet xmlns:r="http://schemas.openxmlformats.org/officeDocument/2006/relationships" name="A6" sheetId="10" state="visible" r:id="rId10"/>
    <sheet xmlns:r="http://schemas.openxmlformats.org/officeDocument/2006/relationships" name="A7" sheetId="11" state="visible" r:id="rId11"/>
    <sheet xmlns:r="http://schemas.openxmlformats.org/officeDocument/2006/relationships" name="B1" sheetId="12" state="visible" r:id="rId12"/>
    <sheet xmlns:r="http://schemas.openxmlformats.org/officeDocument/2006/relationships" name="B2" sheetId="13" state="visible" r:id="rId13"/>
    <sheet xmlns:r="http://schemas.openxmlformats.org/officeDocument/2006/relationships" name="B3" sheetId="14" state="visible" r:id="rId14"/>
    <sheet xmlns:r="http://schemas.openxmlformats.org/officeDocument/2006/relationships" name="C1" sheetId="15" state="visible" r:id="rId15"/>
    <sheet xmlns:r="http://schemas.openxmlformats.org/officeDocument/2006/relationships" name="C2" sheetId="16" state="visible" r:id="rId16"/>
    <sheet xmlns:r="http://schemas.openxmlformats.org/officeDocument/2006/relationships" name="C3" sheetId="17" state="visible" r:id="rId17"/>
    <sheet xmlns:r="http://schemas.openxmlformats.org/officeDocument/2006/relationships" name="Shop 1" sheetId="18" state="visible" r:id="rId18"/>
    <sheet xmlns:r="http://schemas.openxmlformats.org/officeDocument/2006/relationships" name="Shop 2" sheetId="19" state="visible" r:id="rId19"/>
  </sheets>
  <definedNames>
    <definedName name="_xlnm.Print_Titles" localSheetId="1">'Statement'!$1:$12</definedName>
  </definedNames>
  <calcPr calcId="191029" calcMode="auto" fullCalcOnLoad="1" iterateDelta="0.0001" forceFullCalc="1"/>
</workbook>
</file>

<file path=xl/styles.xml><?xml version="1.0" encoding="utf-8"?>
<styleSheet xmlns="http://schemas.openxmlformats.org/spreadsheetml/2006/main">
  <numFmts count="5">
    <numFmt numFmtId="164" formatCode="&quot;KSh &quot;#,##0"/>
    <numFmt numFmtId="165" formatCode="dd\-mmm\-yyyy"/>
    <numFmt numFmtId="166" formatCode="&quot;Ksh &quot;#,##0;[Red]&quot;(Ksh &quot;#,##0\);\-"/>
    <numFmt numFmtId="167" formatCode="d/m/yyyy"/>
    <numFmt numFmtId="168" formatCode="mmm\ yyyy"/>
  </numFmts>
  <fonts count="37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i val="1"/>
      <color rgb="FF666666"/>
      <sz val="9"/>
    </font>
    <font>
      <name val="Arial"/>
      <charset val="1"/>
      <b val="1"/>
      <color rgb="FFFFFFFF"/>
      <sz val="10"/>
    </font>
    <font>
      <name val="Arial"/>
      <charset val="1"/>
      <b val="1"/>
      <sz val="10"/>
    </font>
    <font>
      <name val="Arial"/>
      <charset val="1"/>
      <b val="1"/>
      <sz val="11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b val="1"/>
      <color rgb="FF1F4E79"/>
      <sz val="14"/>
    </font>
    <font>
      <name val="Arial"/>
      <charset val="1"/>
      <i val="1"/>
      <color rgb="FFC65911"/>
      <sz val="9"/>
    </font>
    <font>
      <name val="Arial"/>
      <charset val="1"/>
      <color rgb="FF555555"/>
      <sz val="10"/>
    </font>
    <font>
      <name val="Arial"/>
      <charset val="1"/>
      <b val="1"/>
      <color rgb="FFFFFFFF"/>
      <sz val="9"/>
    </font>
    <font>
      <name val="Arial"/>
      <charset val="1"/>
      <sz val="9"/>
    </font>
    <font>
      <name val="Arial"/>
      <charset val="1"/>
      <i val="1"/>
      <color rgb="FF888888"/>
      <sz val="8"/>
    </font>
    <font>
      <name val="Calibri"/>
      <charset val="1"/>
      <b val="1"/>
      <color rgb="FFFFFFFF"/>
      <sz val="16"/>
    </font>
    <font>
      <name val="Calibri"/>
      <charset val="1"/>
      <i val="1"/>
      <sz val="11"/>
    </font>
    <font>
      <name val="Calibri"/>
      <charset val="1"/>
      <b val="1"/>
      <sz val="11"/>
    </font>
    <font>
      <name val="Arial"/>
      <charset val="1"/>
      <b val="1"/>
      <sz val="12"/>
    </font>
    <font>
      <name val="Arial"/>
      <charset val="1"/>
      <color rgb="FF555555"/>
      <sz val="9"/>
    </font>
    <font>
      <name val="Calibri"/>
      <charset val="1"/>
      <b val="1"/>
      <color rgb="FFFFFFFF"/>
      <sz val="11"/>
    </font>
    <font>
      <name val="Calibri"/>
      <charset val="1"/>
      <color rgb="FF0000FF"/>
      <sz val="11"/>
    </font>
    <font>
      <name val="Calibri"/>
      <charset val="1"/>
      <color rgb="FF008000"/>
      <sz val="11"/>
    </font>
    <font>
      <name val="Calibri"/>
      <charset val="1"/>
      <sz val="11"/>
    </font>
    <font>
      <name val="Calibri"/>
      <charset val="1"/>
      <family val="2"/>
      <color rgb="FF0000FF"/>
      <sz val="11"/>
    </font>
    <font>
      <name val="Calibri"/>
      <charset val="1"/>
      <family val="2"/>
      <color theme="1"/>
      <sz val="12"/>
    </font>
    <font>
      <name val="Calibri"/>
      <charset val="1"/>
      <family val="2"/>
      <sz val="11"/>
    </font>
    <font>
      <name val="Arial"/>
      <b val="1"/>
      <color rgb="FFFFFFFF"/>
      <sz val="14"/>
    </font>
    <font>
      <name val="Arial"/>
      <i val="1"/>
      <color rgb="FF666666"/>
      <sz val="9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b val="1"/>
      <sz val="10"/>
    </font>
    <font>
      <name val="Arial"/>
      <sz val="10"/>
    </font>
    <font>
      <name val="Arial"/>
      <i val="1"/>
      <color rgb="FF888888"/>
      <sz val="8"/>
    </font>
    <font>
      <name val="Arial"/>
      <i val="1"/>
      <color rgb="FF6C3483"/>
      <sz val="9"/>
    </font>
    <font>
      <name val="Arial"/>
      <color rgb="FF333333"/>
      <sz val="9"/>
    </font>
    <font>
      <name val="Consolas"/>
      <color rgb="FF1A1A1A"/>
      <sz val="8"/>
    </font>
    <font>
      <name val="Calibri"/>
      <family val="2"/>
      <b val="1"/>
      <color rgb="FFFF0000"/>
      <sz val="11"/>
    </font>
  </fonts>
  <fills count="18">
    <fill>
      <patternFill/>
    </fill>
    <fill>
      <patternFill patternType="gray125"/>
    </fill>
    <fill>
      <patternFill patternType="solid">
        <fgColor rgb="FF1F4E79"/>
        <bgColor rgb="FF17365D"/>
      </patternFill>
    </fill>
    <fill>
      <patternFill patternType="solid">
        <fgColor rgb="FF2E86AB"/>
        <bgColor rgb="FF008080"/>
      </patternFill>
    </fill>
    <fill>
      <patternFill patternType="solid">
        <fgColor rgb="FFF5F5F5"/>
        <bgColor rgb="FFF3F4F6"/>
      </patternFill>
    </fill>
    <fill>
      <patternFill patternType="solid">
        <fgColor rgb="FFFFEB9C"/>
        <bgColor rgb="FFFFF2CC"/>
      </patternFill>
    </fill>
    <fill>
      <patternFill patternType="solid">
        <fgColor rgb="FF17365D"/>
        <bgColor rgb="FF1F4E79"/>
      </patternFill>
    </fill>
    <fill>
      <patternFill patternType="solid">
        <fgColor rgb="FFE0F2F1"/>
        <bgColor rgb="FFE2F0D9"/>
      </patternFill>
    </fill>
    <fill>
      <patternFill patternType="solid">
        <fgColor rgb="FFF3F4F6"/>
        <bgColor rgb="FFF5F5F5"/>
      </patternFill>
    </fill>
    <fill>
      <patternFill patternType="solid">
        <fgColor rgb="FFD6EAF8"/>
        <bgColor rgb="FFE0F2F1"/>
      </patternFill>
    </fill>
    <fill>
      <patternFill patternType="solid">
        <fgColor rgb="FFFFF2CC"/>
        <bgColor rgb="FFFCE4D6"/>
      </patternFill>
    </fill>
    <fill>
      <patternFill patternType="solid">
        <fgColor rgb="FFE2F0D9"/>
        <bgColor rgb="FFE0F2F1"/>
      </patternFill>
    </fill>
    <fill>
      <patternFill patternType="solid">
        <fgColor rgb="FF1F4E79"/>
      </patternFill>
    </fill>
    <fill>
      <patternFill patternType="solid">
        <fgColor rgb="FF6C3483"/>
      </patternFill>
    </fill>
    <fill>
      <patternFill patternType="solid">
        <fgColor rgb="FF2E86AB"/>
      </patternFill>
    </fill>
    <fill>
      <patternFill patternType="solid">
        <fgColor rgb="FFC0392B"/>
      </patternFill>
    </fill>
    <fill>
      <patternFill patternType="solid">
        <fgColor rgb="FF7B241C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</borders>
  <cellStyleXfs count="1">
    <xf numFmtId="0" fontId="0" fillId="0" borderId="5"/>
  </cellStyleXfs>
  <cellXfs count="78">
    <xf numFmtId="0" fontId="0" fillId="0" borderId="0" pivotButton="0" quotePrefix="0" xfId="0"/>
    <xf numFmtId="0" fontId="3" fillId="3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3" fontId="5" fillId="0" borderId="1" pivotButton="0" quotePrefix="0" xfId="0"/>
    <xf numFmtId="2" fontId="0" fillId="0" borderId="1" pivotButton="0" quotePrefix="0" xfId="0"/>
    <xf numFmtId="0" fontId="0" fillId="0" borderId="1" applyAlignment="1" pivotButton="0" quotePrefix="0" xfId="0">
      <alignment horizontal="center"/>
    </xf>
    <xf numFmtId="0" fontId="7" fillId="0" borderId="0" pivotButton="0" quotePrefix="0" xfId="0"/>
    <xf numFmtId="0" fontId="7" fillId="0" borderId="1" pivotButton="0" quotePrefix="0" xfId="0"/>
    <xf numFmtId="2" fontId="7" fillId="0" borderId="1" pivotButton="0" quotePrefix="0" xfId="0"/>
    <xf numFmtId="3" fontId="7" fillId="0" borderId="1" pivotButton="0" quotePrefix="0" xfId="0"/>
    <xf numFmtId="3" fontId="7" fillId="0" borderId="0" pivotButton="0" quotePrefix="0" xfId="0"/>
    <xf numFmtId="2" fontId="7" fillId="0" borderId="0" pivotButton="0" quotePrefix="0" xfId="0"/>
    <xf numFmtId="0" fontId="5" fillId="0" borderId="0" pivotButton="0" quotePrefix="0" xfId="0"/>
    <xf numFmtId="0" fontId="8" fillId="5" borderId="2" applyAlignment="1" pivotButton="0" quotePrefix="0" xfId="0">
      <alignment horizontal="center"/>
    </xf>
    <xf numFmtId="0" fontId="9" fillId="0" borderId="0" pivotButton="0" quotePrefix="0" xfId="0"/>
    <xf numFmtId="0" fontId="10" fillId="4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11" fillId="2" borderId="1" applyAlignment="1" pivotButton="0" quotePrefix="0" xfId="0">
      <alignment horizontal="center"/>
    </xf>
    <xf numFmtId="165" fontId="12" fillId="0" borderId="1" pivotButton="0" quotePrefix="0" xfId="0"/>
    <xf numFmtId="0" fontId="12" fillId="0" borderId="1" pivotButton="0" quotePrefix="0" xfId="0"/>
    <xf numFmtId="3" fontId="12" fillId="0" borderId="1" pivotButton="0" quotePrefix="0" xfId="0"/>
    <xf numFmtId="165" fontId="0" fillId="0" borderId="0" pivotButton="0" quotePrefix="0" xfId="0"/>
    <xf numFmtId="0" fontId="16" fillId="8" borderId="3" pivotButton="0" quotePrefix="0" xfId="0"/>
    <xf numFmtId="166" fontId="16" fillId="8" borderId="3" pivotButton="0" quotePrefix="0" xfId="0"/>
    <xf numFmtId="3" fontId="17" fillId="8" borderId="3" applyAlignment="1" pivotButton="0" quotePrefix="0" xfId="0">
      <alignment horizontal="right"/>
    </xf>
    <xf numFmtId="0" fontId="5" fillId="8" borderId="3" pivotButton="0" quotePrefix="0" xfId="0"/>
    <xf numFmtId="0" fontId="18" fillId="0" borderId="0" pivotButton="0" quotePrefix="0" xfId="0"/>
    <xf numFmtId="3" fontId="5" fillId="9" borderId="0" pivotButton="0" quotePrefix="0" xfId="0"/>
    <xf numFmtId="0" fontId="19" fillId="6" borderId="3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center"/>
    </xf>
    <xf numFmtId="168" fontId="20" fillId="10" borderId="3" pivotButton="0" quotePrefix="0" xfId="0"/>
    <xf numFmtId="0" fontId="20" fillId="10" borderId="3" pivotButton="0" quotePrefix="0" xfId="0"/>
    <xf numFmtId="166" fontId="21" fillId="11" borderId="3" pivotButton="0" quotePrefix="0" xfId="0"/>
    <xf numFmtId="166" fontId="22" fillId="0" borderId="3" pivotButton="0" quotePrefix="0" xfId="0"/>
    <xf numFmtId="0" fontId="22" fillId="0" borderId="3" pivotButton="0" quotePrefix="0" xfId="0"/>
    <xf numFmtId="166" fontId="23" fillId="1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3" fillId="10" borderId="3" applyAlignment="1" pivotButton="0" quotePrefix="0" xfId="0">
      <alignment horizontal="center"/>
    </xf>
    <xf numFmtId="166" fontId="20" fillId="10" borderId="3" pivotButton="0" quotePrefix="0" xfId="0"/>
    <xf numFmtId="0" fontId="24" fillId="0" borderId="0" applyAlignment="1" pivotButton="0" quotePrefix="0" xfId="0">
      <alignment horizontal="center"/>
    </xf>
    <xf numFmtId="167" fontId="25" fillId="0" borderId="0" applyAlignment="1" pivotButton="0" quotePrefix="0" xfId="0">
      <alignment horizontal="center"/>
    </xf>
    <xf numFmtId="0" fontId="29" fillId="14" borderId="4" applyAlignment="1" pivotButton="0" quotePrefix="0" xfId="0">
      <alignment horizontal="center" wrapText="1"/>
    </xf>
    <xf numFmtId="0" fontId="0" fillId="0" borderId="4" pivotButton="0" quotePrefix="0" xfId="0"/>
    <xf numFmtId="3" fontId="0" fillId="0" borderId="4" pivotButton="0" quotePrefix="0" xfId="0"/>
    <xf numFmtId="165" fontId="0" fillId="0" borderId="4" pivotButton="0" quotePrefix="0" xfId="0"/>
    <xf numFmtId="0" fontId="30" fillId="0" borderId="0" pivotButton="0" quotePrefix="0" xfId="0"/>
    <xf numFmtId="0" fontId="31" fillId="0" borderId="0" pivotButton="0" quotePrefix="0" xfId="0"/>
    <xf numFmtId="0" fontId="28" fillId="15" borderId="0" pivotButton="0" quotePrefix="0" xfId="0"/>
    <xf numFmtId="0" fontId="28" fillId="16" borderId="0" pivotButton="0" quotePrefix="0" xfId="0"/>
    <xf numFmtId="0" fontId="31" fillId="0" borderId="5" pivotButton="0" quotePrefix="0" xfId="0"/>
    <xf numFmtId="165" fontId="0" fillId="0" borderId="0" applyAlignment="1" pivotButton="0" quotePrefix="0" xfId="0">
      <alignment horizontal="center"/>
    </xf>
    <xf numFmtId="165" fontId="20" fillId="10" borderId="3" pivotButton="0" quotePrefix="0" xfId="0"/>
    <xf numFmtId="165" fontId="25" fillId="0" borderId="0" pivotButton="0" quotePrefix="0" xfId="0"/>
    <xf numFmtId="0" fontId="0" fillId="0" borderId="5" pivotButton="0" quotePrefix="0" xfId="0"/>
    <xf numFmtId="165" fontId="25" fillId="0" borderId="5" pivotButton="0" quotePrefix="0" xfId="0"/>
    <xf numFmtId="167" fontId="25" fillId="0" borderId="5" applyAlignment="1" pivotButton="0" quotePrefix="0" xfId="0">
      <alignment horizontal="center"/>
    </xf>
    <xf numFmtId="0" fontId="36" fillId="17" borderId="3" pivotButton="0" quotePrefix="0" xfId="0"/>
    <xf numFmtId="0" fontId="23" fillId="10" borderId="3" pivotButton="0" quotePrefix="0" xfId="0"/>
    <xf numFmtId="0" fontId="1" fillId="2" borderId="5" pivotButton="0" quotePrefix="0" xfId="0"/>
    <xf numFmtId="0" fontId="0" fillId="0" borderId="0" pivotButton="0" quotePrefix="0" xfId="0"/>
    <xf numFmtId="0" fontId="6" fillId="2" borderId="5" pivotButton="0" quotePrefix="0" xfId="0"/>
    <xf numFmtId="0" fontId="2" fillId="0" borderId="5" pivotButton="0" quotePrefix="0" xfId="0"/>
    <xf numFmtId="0" fontId="34" fillId="0" borderId="5" pivotButton="0" quotePrefix="0" xfId="0"/>
    <xf numFmtId="0" fontId="13" fillId="0" borderId="5" pivotButton="0" quotePrefix="0" xfId="0"/>
    <xf numFmtId="0" fontId="6" fillId="3" borderId="5" pivotButton="0" quotePrefix="0" xfId="0"/>
    <xf numFmtId="0" fontId="28" fillId="12" borderId="5" pivotButton="0" quotePrefix="0" xfId="0"/>
    <xf numFmtId="0" fontId="27" fillId="0" borderId="5" pivotButton="0" quotePrefix="0" xfId="0"/>
    <xf numFmtId="0" fontId="26" fillId="12" borderId="5" pivotButton="0" quotePrefix="0" xfId="0"/>
    <xf numFmtId="0" fontId="28" fillId="13" borderId="5" pivotButton="0" quotePrefix="0" xfId="0"/>
    <xf numFmtId="0" fontId="33" fillId="0" borderId="5" pivotButton="0" quotePrefix="0" xfId="0"/>
    <xf numFmtId="0" fontId="35" fillId="0" borderId="5" pivotButton="0" quotePrefix="0" xfId="0"/>
    <xf numFmtId="0" fontId="14" fillId="6" borderId="5" applyAlignment="1" pivotButton="0" quotePrefix="0" xfId="0">
      <alignment horizontal="left" vertical="center"/>
    </xf>
    <xf numFmtId="0" fontId="32" fillId="0" borderId="5" pivotButton="0" quotePrefix="0" xfId="0"/>
    <xf numFmtId="0" fontId="15" fillId="7" borderId="5" applyAlignment="1" pivotButton="0" quotePrefix="0" xfId="0">
      <alignment wrapText="1"/>
    </xf>
    <xf numFmtId="0" fontId="0" fillId="0" borderId="5" pivotButton="0" quotePrefix="0" xfId="0"/>
  </cellXfs>
  <cellStyles count="1">
    <cellStyle name="Normal" xfId="0" builtinId="0"/>
  </cellStyles>
  <dxfs count="187"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color rgb="FF222222"/>
        <sz val="10"/>
      </font>
      <fill>
        <patternFill patternType="solid">
          <fgColor rgb="FFD0D0D0"/>
          <bgColor rgb="FFD0D0D0"/>
        </patternFill>
      </fill>
    </dxf>
    <dxf>
      <font>
        <name val="Arial"/>
        <color rgb="FF333333"/>
        <sz val="10"/>
      </font>
      <fill>
        <patternFill patternType="solid">
          <fgColor rgb="FFE8E8E8"/>
          <bgColor rgb="FFE8E8E8"/>
        </patternFill>
      </fill>
    </dxf>
    <dxf>
      <font>
        <name val="Arial"/>
        <b val="1"/>
        <color rgb="FF9C5700"/>
      </font>
      <fill>
        <patternFill patternType="solid">
          <fgColor rgb="FFFFEB9C"/>
          <bgColor rgb="FFFFEB9C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C65911"/>
      </font>
      <fill>
        <patternFill patternType="solid">
          <fgColor rgb="FFFCE4D6"/>
          <bgColor rgb="FFFCE4D6"/>
        </patternFill>
      </fill>
    </dxf>
    <dxf>
      <font>
        <name val="Arial"/>
        <b val="1"/>
        <color rgb="FF2C3E50"/>
      </font>
      <fill>
        <patternFill patternType="solid">
          <fgColor rgb="FFD5D8DC"/>
          <bgColor rgb="FFD5D8DC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C65911"/>
      </font>
      <fill>
        <patternFill patternType="solid">
          <fgColor rgb="FFFCE4D6"/>
          <bgColor rgb="FFFCE4D6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</font>
      <fill>
        <patternFill patternType="solid">
          <fgColor rgb="FFC6EFCE"/>
          <bgColor rgb="FFC6EFCE"/>
        </patternFill>
      </fill>
    </dxf>
    <dxf>
      <font>
        <name val="Arial"/>
        <charset val="1"/>
        <b val="1"/>
        <color rgb="FF9C0006"/>
      </font>
      <fill>
        <patternFill>
          <bgColor rgb="FFFFC7CE"/>
        </patternFill>
      </fill>
    </dxf>
    <dxf>
      <font>
        <name val="Arial"/>
        <charset val="1"/>
        <b val="1"/>
        <color rgb="FF006100"/>
      </font>
      <fill>
        <patternFill>
          <bgColor rgb="FFC6EFCE"/>
        </patternFill>
      </fill>
    </dxf>
    <dxf>
      <font>
        <name val="Arial"/>
        <charset val="1"/>
        <b val="1"/>
        <color rgb="FF006100"/>
      </font>
      <fill>
        <patternFill>
          <bgColor rgb="FFC6EFCE"/>
        </patternFill>
      </fill>
    </dxf>
    <dxf>
      <font>
        <name val="Arial"/>
        <charset val="1"/>
        <b val="1"/>
        <color rgb="FF9C0006"/>
      </font>
      <fill>
        <patternFill>
          <bgColor rgb="FFFFC7CE"/>
        </patternFill>
      </fill>
    </dxf>
    <dxf>
      <font>
        <name val="Arial"/>
        <charset val="1"/>
        <b val="1"/>
        <color rgb="FF006100"/>
      </font>
      <fill>
        <patternFill>
          <bgColor rgb="FFC6EFCE"/>
        </patternFill>
      </fill>
    </dxf>
    <dxf>
      <font>
        <name val="Arial"/>
        <charset val="1"/>
        <b val="1"/>
        <color rgb="FF006100"/>
      </font>
      <fill>
        <patternFill>
          <bgColor rgb="FFC6EFCE"/>
        </patternFill>
      </fill>
    </dxf>
    <dxf>
      <font>
        <name val="Arial"/>
        <color rgb="FF333333"/>
        <sz val="9"/>
      </font>
      <fill>
        <patternFill patternType="solid">
          <fgColor rgb="FFE8E8E8"/>
          <bgColor rgb="FFE8E8E8"/>
        </patternFill>
      </fill>
    </dxf>
    <dxf>
      <font>
        <name val="Arial"/>
        <color rgb="FF222222"/>
        <sz val="9"/>
      </font>
      <fill>
        <patternFill patternType="solid">
          <fgColor rgb="FFD0D0D0"/>
          <bgColor rgb="FFD0D0D0"/>
        </patternFill>
      </fill>
    </dxf>
    <dxf>
      <font>
        <name val="Arial"/>
        <charset val="1"/>
        <b val="1"/>
        <color rgb="FF9C0006"/>
      </font>
      <fill>
        <patternFill>
          <bgColor rgb="FFFFC7CE"/>
        </patternFill>
      </fill>
    </dxf>
    <dxf>
      <font>
        <name val="Arial"/>
        <charset val="1"/>
        <b val="1"/>
        <color rgb="FFC65911"/>
      </font>
      <fill>
        <patternFill>
          <bgColor rgb="FFFCE4D6"/>
        </patternFill>
      </fill>
    </dxf>
    <dxf>
      <font>
        <name val="Arial"/>
        <charset val="1"/>
        <b val="1"/>
        <color rgb="FF9C5700"/>
      </font>
      <fill>
        <patternFill>
          <bgColor rgb="FFFFEB9C"/>
        </patternFill>
      </fill>
    </dxf>
    <dxf>
      <font>
        <name val="Arial"/>
        <charset val="1"/>
        <b val="1"/>
        <color rgb="FF006100"/>
      </font>
      <fill>
        <patternFill>
          <bgColor rgb="FFC6EFCE"/>
        </patternFill>
      </fill>
    </dxf>
    <dxf>
      <font>
        <name val="Arial"/>
        <charset val="1"/>
        <b val="1"/>
        <color rgb="FF9C5700"/>
      </font>
      <fill>
        <patternFill>
          <bgColor rgb="FFFFEB9C"/>
        </patternFill>
      </fill>
    </dxf>
    <dxf>
      <font>
        <name val="Arial"/>
        <charset val="1"/>
        <b val="1"/>
        <color rgb="FF9C5700"/>
      </font>
      <fill>
        <patternFill>
          <bgColor rgb="FFFCE4D6"/>
        </patternFill>
      </fill>
    </dxf>
    <dxf>
      <font>
        <name val="Arial"/>
        <charset val="1"/>
        <b val="1"/>
        <color rgb="FF9C0006"/>
      </font>
      <fill>
        <patternFill>
          <bgColor rgb="FFFFC7CE"/>
        </patternFill>
      </fill>
    </dxf>
    <dxf>
      <font>
        <name val="Arial"/>
        <charset val="1"/>
        <b val="1"/>
        <color rgb="FF9C0006"/>
      </font>
      <fill>
        <patternFill>
          <bgColor rgb="FFFFC7CE"/>
        </patternFill>
      </fill>
    </dxf>
    <dxf>
      <font>
        <name val="Arial"/>
        <charset val="1"/>
        <b val="1"/>
        <color rgb="FFC65911"/>
      </font>
      <fill>
        <patternFill>
          <bgColor rgb="FFFCE4D6"/>
        </patternFill>
      </fill>
    </dxf>
    <dxf>
      <font>
        <name val="Arial"/>
        <charset val="1"/>
        <b val="1"/>
        <color rgb="FF9C5700"/>
      </font>
      <fill>
        <patternFill>
          <bgColor rgb="FFFFEB9C"/>
        </patternFill>
      </fill>
    </dxf>
    <dxf>
      <font>
        <name val="Arial"/>
        <charset val="1"/>
        <b val="1"/>
        <color rgb="FF006100"/>
      </font>
      <fill>
        <patternFill>
          <bgColor rgb="FFC6EFCE"/>
        </patternFill>
      </fill>
    </dxf>
    <dxf>
      <font>
        <name val="Arial"/>
        <charset val="1"/>
        <b val="1"/>
        <color rgb="FF9C0006"/>
      </font>
      <fill>
        <patternFill>
          <bgColor rgb="FFFFC7CE"/>
        </patternFill>
      </fill>
    </dxf>
    <dxf>
      <font>
        <name val="Arial"/>
        <charset val="1"/>
        <b val="1"/>
        <color rgb="FF006100"/>
      </font>
      <fill>
        <patternFill>
          <bgColor rgb="FFC6EFCE"/>
        </patternFill>
      </fill>
    </dxf>
    <dxf>
      <font>
        <name val="Arial"/>
        <charset val="1"/>
        <b val="1"/>
        <color rgb="FF006100"/>
      </font>
      <fill>
        <patternFill>
          <bgColor rgb="FFC6EFCE"/>
        </patternFill>
      </fill>
    </dxf>
    <dxf>
      <font>
        <name val="Arial"/>
        <charset val="1"/>
        <b val="1"/>
        <color rgb="FF9C5700"/>
      </font>
      <fill>
        <patternFill>
          <bgColor rgb="FFFCE4D6"/>
        </patternFill>
      </fill>
    </dxf>
    <dxf>
      <font>
        <name val="Arial"/>
        <charset val="1"/>
        <b val="1"/>
        <color rgb="FF9C0006"/>
      </font>
      <fill>
        <patternFill>
          <bgColor rgb="FFFFC7CE"/>
        </patternFill>
      </fill>
    </dxf>
    <dxf>
      <font>
        <name val="Arial"/>
        <charset val="1"/>
        <b val="1"/>
        <color rgb="FF9C0006"/>
      </font>
      <fill>
        <patternFill>
          <bgColor rgb="FFFFC7CE"/>
        </patternFill>
      </fill>
    </dxf>
    <dxf>
      <font>
        <name val="Arial"/>
        <charset val="1"/>
        <b val="1"/>
        <color rgb="FFC65911"/>
      </font>
      <fill>
        <patternFill>
          <bgColor rgb="FFFCE4D6"/>
        </patternFill>
      </fill>
    </dxf>
    <dxf>
      <font>
        <name val="Arial"/>
        <charset val="1"/>
        <b val="1"/>
        <color rgb="FF9C5700"/>
      </font>
      <fill>
        <patternFill>
          <bgColor rgb="FFFFEB9C"/>
        </patternFill>
      </fill>
    </dxf>
    <dxf>
      <font>
        <name val="Arial"/>
        <charset val="1"/>
        <b val="1"/>
        <color rgb="FF006100"/>
      </font>
      <fill>
        <patternFill>
          <bgColor rgb="FFC6EFCE"/>
        </patternFill>
      </fill>
    </dxf>
    <dxf>
      <font>
        <name val="Arial"/>
        <charset val="1"/>
        <b val="1"/>
        <color rgb="FF9C0006"/>
      </font>
      <fill>
        <patternFill>
          <bgColor rgb="FFFFC7CE"/>
        </patternFill>
      </fill>
    </dxf>
    <dxf>
      <font>
        <name val="Arial"/>
        <charset val="1"/>
        <b val="1"/>
        <color rgb="FF006100"/>
      </font>
      <fill>
        <patternFill>
          <bgColor rgb="FFC6EFCE"/>
        </patternFill>
      </fill>
    </dxf>
    <dxf>
      <font>
        <name val="Arial"/>
        <charset val="1"/>
        <b val="1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5F5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0B0B0"/>
      <rgbColor rgb="FF888888"/>
      <rgbColor rgb="FF9999FF"/>
      <rgbColor rgb="FF993366"/>
      <rgbColor rgb="FFFFF2CC"/>
      <rgbColor rgb="FFE0F2F1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C6EFCE"/>
      <rgbColor rgb="FFFFEB9C"/>
      <rgbColor rgb="FFE2F0D9"/>
      <rgbColor rgb="FFFCE4D6"/>
      <rgbColor rgb="FFF3F4F6"/>
      <rgbColor rgb="FFFFC7CE"/>
      <rgbColor rgb="FF3366FF"/>
      <rgbColor rgb="FF33CCCC"/>
      <rgbColor rgb="FF99CC00"/>
      <rgbColor rgb="FFFFCC00"/>
      <rgbColor rgb="FFFF9900"/>
      <rgbColor rgb="FFC65911"/>
      <rgbColor rgb="FF666666"/>
      <rgbColor rgb="FF969696"/>
      <rgbColor rgb="FF17365D"/>
      <rgbColor rgb="FF2E86AB"/>
      <rgbColor rgb="FF006100"/>
      <rgbColor rgb="FF333300"/>
      <rgbColor rgb="FF9C5700"/>
      <rgbColor rgb="FF993366"/>
      <rgbColor rgb="FF1F4E7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topLeftCell="A7" zoomScaleNormal="100" workbookViewId="0">
      <selection activeCell="C23" sqref="C23"/>
    </sheetView>
  </sheetViews>
  <sheetFormatPr baseColWidth="8" defaultColWidth="8.6640625" defaultRowHeight="14.4"/>
  <cols>
    <col width="9.109375" bestFit="1" customWidth="1" style="62" min="1" max="1"/>
    <col width="35.33203125" bestFit="1" customWidth="1" style="62" min="2" max="2"/>
    <col width="13" bestFit="1" customWidth="1" style="62" min="3" max="3"/>
    <col width="12" bestFit="1" customWidth="1" style="62" min="4" max="4"/>
    <col width="12.44140625" bestFit="1" customWidth="1" style="62" min="5" max="5"/>
    <col width="21.5546875" bestFit="1" customWidth="1" style="62" min="6" max="6"/>
    <col width="11" customWidth="1" style="62" min="7" max="7"/>
    <col width="14" customWidth="1" style="62" min="8" max="8"/>
    <col width="10" customWidth="1" style="62" min="9" max="9"/>
  </cols>
  <sheetData>
    <row r="1" ht="27.75" customHeight="1" s="62">
      <c r="A1" s="61" t="inlineStr">
        <is>
          <t>RENTAL INCOME — UNIT SUMMARY</t>
        </is>
      </c>
    </row>
    <row r="2" ht="15" customHeight="1" s="62">
      <c r="A2" s="64" t="inlineStr">
        <is>
          <t>Balances update automatically from each unit ledger. Red = arrears, Green = paid/credit.</t>
        </is>
      </c>
    </row>
    <row r="3" ht="23.25" customHeight="1" s="62">
      <c r="A3" s="1" t="inlineStr">
        <is>
          <t>Unit</t>
        </is>
      </c>
      <c r="B3" s="1" t="inlineStr">
        <is>
          <t>Tenant</t>
        </is>
      </c>
      <c r="C3" s="1" t="inlineStr">
        <is>
          <t>Rent</t>
        </is>
      </c>
      <c r="D3" s="1" t="inlineStr">
        <is>
          <t>Garbage</t>
        </is>
      </c>
      <c r="E3" s="1" t="inlineStr">
        <is>
          <t>Deposit Held</t>
        </is>
      </c>
      <c r="F3" s="1" t="inlineStr">
        <is>
          <t>Current Balance</t>
        </is>
      </c>
      <c r="G3" s="1" t="inlineStr">
        <is>
          <t>Months Out.</t>
        </is>
      </c>
      <c r="H3" s="1" t="inlineStr">
        <is>
          <t>Status</t>
        </is>
      </c>
      <c r="I3" s="1" t="inlineStr">
        <is>
          <t>Priority</t>
        </is>
      </c>
    </row>
    <row r="4" ht="15" customHeight="1" s="62">
      <c r="A4" s="2" t="inlineStr">
        <is>
          <t>C1</t>
        </is>
      </c>
      <c r="B4" s="3">
        <f>'C1'!J3</f>
        <v/>
      </c>
      <c r="C4" s="4">
        <f>'C1'!D3</f>
        <v/>
      </c>
      <c r="D4" s="4">
        <f>'C1'!F3</f>
        <v/>
      </c>
      <c r="E4" s="4">
        <f>'C1'!L3</f>
        <v/>
      </c>
      <c r="F4" s="5">
        <f>'C1'!H3</f>
        <v/>
      </c>
      <c r="G4" s="6">
        <f>IF(C4+D4=0,0,MAX(0,F4)/(C4+D4))</f>
        <v/>
      </c>
      <c r="H4" s="3">
        <f>IF(F4&lt;=0,"Paid / Credit",IF(G4&lt;1,"&lt;1 month",IF(G4&lt;2,"1–2 months",IF(G4&lt;3,"2–3 months","&gt;3 months"))))</f>
        <v/>
      </c>
      <c r="I4" s="7">
        <f>IF(F4&lt;=0,"PAID",IF(G4&lt;1,"LOW",IF(G4&lt;2,"MEDIUM","HIGH")))</f>
        <v/>
      </c>
    </row>
    <row r="5" ht="15" customHeight="1" s="62">
      <c r="A5" s="2" t="inlineStr">
        <is>
          <t>B3</t>
        </is>
      </c>
      <c r="B5" s="3">
        <f>'B3'!J3</f>
        <v/>
      </c>
      <c r="C5" s="4">
        <f>'B3'!D3</f>
        <v/>
      </c>
      <c r="D5" s="4">
        <f>'B3'!F3</f>
        <v/>
      </c>
      <c r="E5" s="4">
        <f>'B3'!L3</f>
        <v/>
      </c>
      <c r="F5" s="5">
        <f>'B3'!H3</f>
        <v/>
      </c>
      <c r="G5" s="6">
        <f>IF(C5+D5=0,0,MAX(0,F5)/(C5+D5))</f>
        <v/>
      </c>
      <c r="H5" s="3">
        <f>IF(F5&lt;=0,"Paid / Credit",IF(G5&lt;1,"&lt;1 month",IF(G5&lt;2,"1–2 months",IF(G5&lt;3,"2–3 months","&gt;3 months"))))</f>
        <v/>
      </c>
      <c r="I5" s="7">
        <f>IF(F5&lt;=0,"PAID",IF(G5&lt;1,"LOW",IF(G5&lt;2,"MEDIUM","HIGH")))</f>
        <v/>
      </c>
    </row>
    <row r="6" ht="15" customHeight="1" s="62">
      <c r="A6" s="2" t="inlineStr">
        <is>
          <t>A7</t>
        </is>
      </c>
      <c r="B6" s="3">
        <f>'A7'!J3</f>
        <v/>
      </c>
      <c r="C6" s="4">
        <f>'A7'!D3</f>
        <v/>
      </c>
      <c r="D6" s="4">
        <f>'A7'!F3</f>
        <v/>
      </c>
      <c r="E6" s="4">
        <f>'A7'!L3</f>
        <v/>
      </c>
      <c r="F6" s="5">
        <f>'A7'!H3</f>
        <v/>
      </c>
      <c r="G6" s="6">
        <f>IF(C6+D6=0,0,MAX(0,F6)/(C6+D6))</f>
        <v/>
      </c>
      <c r="H6" s="3">
        <f>IF(F6&lt;=0,"Paid / Credit",IF(G6&lt;1,"&lt;1 month",IF(G6&lt;2,"1–2 months",IF(G6&lt;3,"2–3 months","&gt;3 months"))))</f>
        <v/>
      </c>
      <c r="I6" s="7">
        <f>IF(F6&lt;=0,"PAID",IF(G6&lt;1,"LOW",IF(G6&lt;2,"MEDIUM","HIGH")))</f>
        <v/>
      </c>
    </row>
    <row r="7" ht="15" customHeight="1" s="62">
      <c r="A7" s="2" t="inlineStr">
        <is>
          <t>A6</t>
        </is>
      </c>
      <c r="B7" s="3">
        <f>'A6'!J3</f>
        <v/>
      </c>
      <c r="C7" s="4">
        <f>'A6'!D3</f>
        <v/>
      </c>
      <c r="D7" s="4">
        <f>'A6'!F3</f>
        <v/>
      </c>
      <c r="E7" s="4">
        <f>'A6'!L3</f>
        <v/>
      </c>
      <c r="F7" s="5">
        <f>'A6'!H3</f>
        <v/>
      </c>
      <c r="G7" s="6">
        <f>IF(C7+D7=0,0,MAX(0,F7)/(C7+D7))</f>
        <v/>
      </c>
      <c r="H7" s="3">
        <f>IF(F7&lt;=0,"Paid / Credit",IF(G7&lt;1,"&lt;1 month",IF(G7&lt;2,"1–2 months",IF(G7&lt;3,"2–3 months","&gt;3 months"))))</f>
        <v/>
      </c>
      <c r="I7" s="7">
        <f>IF(F7&lt;=0,"PAID",IF(G7&lt;1,"LOW",IF(G7&lt;2,"MEDIUM","HIGH")))</f>
        <v/>
      </c>
    </row>
    <row r="8" ht="15" customHeight="1" s="62">
      <c r="A8" s="2" t="inlineStr">
        <is>
          <t>C3</t>
        </is>
      </c>
      <c r="B8" s="3">
        <f>'C3'!J3</f>
        <v/>
      </c>
      <c r="C8" s="4">
        <f>'C3'!D3</f>
        <v/>
      </c>
      <c r="D8" s="4">
        <f>'C3'!F3</f>
        <v/>
      </c>
      <c r="E8" s="4">
        <f>'C3'!L3</f>
        <v/>
      </c>
      <c r="F8" s="5">
        <f>'C3'!H3</f>
        <v/>
      </c>
      <c r="G8" s="6">
        <f>IF(C8+D8=0,0,MAX(0,F8)/(C8+D8))</f>
        <v/>
      </c>
      <c r="H8" s="3">
        <f>IF(F8&lt;=0,"Paid / Credit",IF(G8&lt;1,"&lt;1 month",IF(G8&lt;2,"1–2 months",IF(G8&lt;3,"2–3 months","&gt;3 months"))))</f>
        <v/>
      </c>
      <c r="I8" s="7">
        <f>IF(F8&lt;=0,"PAID",IF(G8&lt;1,"LOW",IF(G8&lt;2,"MEDIUM","HIGH")))</f>
        <v/>
      </c>
    </row>
    <row r="9" ht="15" customHeight="1" s="62">
      <c r="A9" s="2" t="inlineStr">
        <is>
          <t>A1</t>
        </is>
      </c>
      <c r="B9" s="3">
        <f>'A1'!J3</f>
        <v/>
      </c>
      <c r="C9" s="4">
        <f>'A1'!D3</f>
        <v/>
      </c>
      <c r="D9" s="4">
        <f>'A1'!F3</f>
        <v/>
      </c>
      <c r="E9" s="4">
        <f>'A1'!L3</f>
        <v/>
      </c>
      <c r="F9" s="5">
        <f>'A1'!H3</f>
        <v/>
      </c>
      <c r="G9" s="6">
        <f>IF(C9+D9=0,0,MAX(0,F9)/(C9+D9))</f>
        <v/>
      </c>
      <c r="H9" s="3">
        <f>IF(F9&lt;=0,"Paid / Credit",IF(G9&lt;1,"&lt;1 month",IF(G9&lt;2,"1–2 months",IF(G9&lt;3,"2–3 months","&gt;3 months"))))</f>
        <v/>
      </c>
      <c r="I9" s="7">
        <f>IF(F9&lt;=0,"PAID",IF(G9&lt;1,"LOW",IF(G9&lt;2,"MEDIUM","HIGH")))</f>
        <v/>
      </c>
    </row>
    <row r="10" ht="15" customHeight="1" s="62">
      <c r="A10" s="2" t="inlineStr">
        <is>
          <t>B1</t>
        </is>
      </c>
      <c r="B10" s="3">
        <f>'B1'!J3</f>
        <v/>
      </c>
      <c r="C10" s="4">
        <f>'B1'!D3</f>
        <v/>
      </c>
      <c r="D10" s="4">
        <f>'B1'!F3</f>
        <v/>
      </c>
      <c r="E10" s="4">
        <f>'B1'!L3</f>
        <v/>
      </c>
      <c r="F10" s="5">
        <f>'B1'!H3</f>
        <v/>
      </c>
      <c r="G10" s="6">
        <f>IF(C10+D10=0,0,MAX(0,F10)/(C10+D10))</f>
        <v/>
      </c>
      <c r="H10" s="3">
        <f>IF(F10&lt;=0,"Paid / Credit",IF(G10&lt;1,"&lt;1 month",IF(G10&lt;2,"1–2 months",IF(G10&lt;3,"2–3 months","&gt;3 months"))))</f>
        <v/>
      </c>
      <c r="I10" s="7">
        <f>IF(F10&lt;=0,"PAID",IF(G10&lt;1,"LOW",IF(G10&lt;2,"MEDIUM","HIGH")))</f>
        <v/>
      </c>
    </row>
    <row r="11" ht="15" customHeight="1" s="62">
      <c r="A11" s="2" t="inlineStr">
        <is>
          <t>C2</t>
        </is>
      </c>
      <c r="B11" s="3">
        <f>'C2'!J3</f>
        <v/>
      </c>
      <c r="C11" s="4">
        <f>'C2'!D3</f>
        <v/>
      </c>
      <c r="D11" s="4">
        <f>'C2'!F3</f>
        <v/>
      </c>
      <c r="E11" s="4">
        <f>'C2'!L3</f>
        <v/>
      </c>
      <c r="F11" s="5">
        <f>'C2'!H3</f>
        <v/>
      </c>
      <c r="G11" s="6">
        <f>IF(C11+D11=0,0,MAX(0,F11)/(C11+D11))</f>
        <v/>
      </c>
      <c r="H11" s="3">
        <f>IF(F11&lt;=0,"Paid / Credit",IF(G11&lt;1,"&lt;1 month",IF(G11&lt;2,"1–2 months",IF(G11&lt;3,"2–3 months","&gt;3 months"))))</f>
        <v/>
      </c>
      <c r="I11" s="7">
        <f>IF(F11&lt;=0,"PAID",IF(G11&lt;1,"LOW",IF(G11&lt;2,"MEDIUM","HIGH")))</f>
        <v/>
      </c>
    </row>
    <row r="12" ht="15" customHeight="1" s="62">
      <c r="A12" s="2" t="inlineStr">
        <is>
          <t>A2</t>
        </is>
      </c>
      <c r="B12" s="3">
        <f>'A2'!J3</f>
        <v/>
      </c>
      <c r="C12" s="4">
        <f>'A2'!D3</f>
        <v/>
      </c>
      <c r="D12" s="4">
        <f>'A2'!F3</f>
        <v/>
      </c>
      <c r="E12" s="4">
        <f>'A2'!L3</f>
        <v/>
      </c>
      <c r="F12" s="5">
        <f>'A2'!H3</f>
        <v/>
      </c>
      <c r="G12" s="6">
        <f>IF(C12+D12=0,0,MAX(0,F12)/(C12+D12))</f>
        <v/>
      </c>
      <c r="H12" s="3">
        <f>IF(F12&lt;=0,"Paid / Credit",IF(G12&lt;1,"&lt;1 month",IF(G12&lt;2,"1–2 months",IF(G12&lt;3,"2–3 months","&gt;3 months"))))</f>
        <v/>
      </c>
      <c r="I12" s="7">
        <f>IF(F12&lt;=0,"PAID",IF(G12&lt;1,"LOW",IF(G12&lt;2,"MEDIUM","HIGH")))</f>
        <v/>
      </c>
    </row>
    <row r="13" ht="15" customHeight="1" s="62">
      <c r="A13" s="2" t="inlineStr">
        <is>
          <t>A3</t>
        </is>
      </c>
      <c r="B13" s="3">
        <f>'A3'!J3</f>
        <v/>
      </c>
      <c r="C13" s="4">
        <f>'A3'!D3</f>
        <v/>
      </c>
      <c r="D13" s="4">
        <f>'A3'!F3</f>
        <v/>
      </c>
      <c r="E13" s="4">
        <f>'A3'!L3</f>
        <v/>
      </c>
      <c r="F13" s="5">
        <f>'A3'!H3</f>
        <v/>
      </c>
      <c r="G13" s="6">
        <f>IF(C13+D13=0,0,MAX(0,F13)/(C13+D13))</f>
        <v/>
      </c>
      <c r="H13" s="3">
        <f>IF(F13&lt;=0,"Paid / Credit",IF(G13&lt;1,"&lt;1 month",IF(G13&lt;2,"1–2 months",IF(G13&lt;3,"2–3 months","&gt;3 months"))))</f>
        <v/>
      </c>
      <c r="I13" s="7">
        <f>IF(F13&lt;=0,"PAID",IF(G13&lt;1,"LOW",IF(G13&lt;2,"MEDIUM","HIGH")))</f>
        <v/>
      </c>
    </row>
    <row r="14" ht="15" customHeight="1" s="62">
      <c r="A14" s="2" t="inlineStr">
        <is>
          <t>A4</t>
        </is>
      </c>
      <c r="B14" s="3">
        <f>'A4'!J3</f>
        <v/>
      </c>
      <c r="C14" s="4">
        <f>'A4'!D3</f>
        <v/>
      </c>
      <c r="D14" s="4">
        <f>'A4'!F3</f>
        <v/>
      </c>
      <c r="E14" s="4">
        <f>'A4'!L3</f>
        <v/>
      </c>
      <c r="F14" s="5">
        <f>'A4'!H3</f>
        <v/>
      </c>
      <c r="G14" s="6">
        <f>IF(C14+D14=0,0,MAX(0,F14)/(C14+D14))</f>
        <v/>
      </c>
      <c r="H14" s="3">
        <f>IF(F14&lt;=0,"Paid / Credit",IF(G14&lt;1,"&lt;1 month",IF(G14&lt;2,"1–2 months",IF(G14&lt;3,"2–3 months","&gt;3 months"))))</f>
        <v/>
      </c>
      <c r="I14" s="7">
        <f>IF(F14&lt;=0,"PAID",IF(G14&lt;1,"LOW",IF(G14&lt;2,"MEDIUM","HIGH")))</f>
        <v/>
      </c>
    </row>
    <row r="15" ht="15" customHeight="1" s="62">
      <c r="A15" s="2" t="inlineStr">
        <is>
          <t>A5</t>
        </is>
      </c>
      <c r="B15" s="3">
        <f>'A5'!J3</f>
        <v/>
      </c>
      <c r="C15" s="4">
        <f>'A5'!D3</f>
        <v/>
      </c>
      <c r="D15" s="4">
        <f>'A5'!F3</f>
        <v/>
      </c>
      <c r="E15" s="4">
        <f>'A5'!L3</f>
        <v/>
      </c>
      <c r="F15" s="5">
        <f>'A5'!H3</f>
        <v/>
      </c>
      <c r="G15" s="6">
        <f>IF(C15+D15=0,0,MAX(0,F15)/(C15+D15))</f>
        <v/>
      </c>
      <c r="H15" s="3">
        <f>IF(F15&lt;=0,"Paid / Credit",IF(G15&lt;1,"&lt;1 month",IF(G15&lt;2,"1–2 months",IF(G15&lt;3,"2–3 months","&gt;3 months"))))</f>
        <v/>
      </c>
      <c r="I15" s="7">
        <f>IF(F15&lt;=0,"PAID",IF(G15&lt;1,"LOW",IF(G15&lt;2,"MEDIUM","HIGH")))</f>
        <v/>
      </c>
    </row>
    <row r="16" ht="15" customHeight="1" s="62">
      <c r="A16" s="2" t="inlineStr">
        <is>
          <t>B2</t>
        </is>
      </c>
      <c r="B16" s="3">
        <f>'B2'!J3</f>
        <v/>
      </c>
      <c r="C16" s="4">
        <f>'B2'!D3</f>
        <v/>
      </c>
      <c r="D16" s="4">
        <f>'B2'!F3</f>
        <v/>
      </c>
      <c r="E16" s="4">
        <f>'B2'!L3</f>
        <v/>
      </c>
      <c r="F16" s="5">
        <f>'B2'!H3</f>
        <v/>
      </c>
      <c r="G16" s="6">
        <f>IF(C16+D16=0,0,MAX(0,F16)/(C16+D16))</f>
        <v/>
      </c>
      <c r="H16" s="3">
        <f>IF(F16&lt;=0,"Paid / Credit",IF(G16&lt;1,"&lt;1 month",IF(G16&lt;2,"1–2 months",IF(G16&lt;3,"2–3 months","&gt;3 months"))))</f>
        <v/>
      </c>
      <c r="I16" s="7">
        <f>IF(F16&lt;=0,"PAID",IF(G16&lt;1,"LOW",IF(G16&lt;2,"MEDIUM","HIGH")))</f>
        <v/>
      </c>
    </row>
    <row r="17" ht="15" customHeight="1" s="62">
      <c r="A17" s="2" t="inlineStr">
        <is>
          <t>Shop 1</t>
        </is>
      </c>
      <c r="B17" s="3">
        <f>'Shop 1'!J3</f>
        <v/>
      </c>
      <c r="C17" s="4">
        <f>'Shop 1'!D3</f>
        <v/>
      </c>
      <c r="D17" s="4">
        <f>'Shop 1'!F3</f>
        <v/>
      </c>
      <c r="E17" s="4">
        <f>'Shop 1'!L3</f>
        <v/>
      </c>
      <c r="F17" s="5">
        <f>'Shop 1'!H3</f>
        <v/>
      </c>
      <c r="G17" s="6">
        <f>IF(C17+D17=0,0,MAX(0,F17)/(C17+D17))</f>
        <v/>
      </c>
      <c r="H17" s="3">
        <f>IF(F17&lt;=0,"Paid / Credit",IF(G17&lt;1,"&lt;1 month",IF(G17&lt;2,"1–2 months",IF(G17&lt;3,"2–3 months","&gt;3 months"))))</f>
        <v/>
      </c>
      <c r="I17" s="7">
        <f>IF(F17&lt;=0,"PAID",IF(G17&lt;1,"LOW",IF(G17&lt;2,"MEDIUM","HIGH")))</f>
        <v/>
      </c>
    </row>
    <row r="18" ht="15" customHeight="1" s="62">
      <c r="A18" s="2" t="inlineStr">
        <is>
          <t>Shop 2</t>
        </is>
      </c>
      <c r="B18" s="3">
        <f>'Shop 2'!J3</f>
        <v/>
      </c>
      <c r="C18" s="4">
        <f>'Shop 2'!D3</f>
        <v/>
      </c>
      <c r="D18" s="4">
        <f>'Shop 2'!F3</f>
        <v/>
      </c>
      <c r="E18" s="4" t="n">
        <v>5000</v>
      </c>
      <c r="F18" s="5">
        <f>'Shop 2'!H3</f>
        <v/>
      </c>
      <c r="G18" s="6">
        <f>IF(C18+D18=0,0,MAX(0,F18)/(C18+D18))</f>
        <v/>
      </c>
      <c r="H18" s="3">
        <f>IF(F18&lt;=0,"Paid / Credit",IF(G18&lt;1,"&lt;1 month",IF(G18&lt;2,"1–2 months",IF(G18&lt;3,"2–3 months","&gt;3 months"))))</f>
        <v/>
      </c>
      <c r="I18" s="7">
        <f>IF(F18&lt;=0,"PAID",IF(G18&lt;1,"LOW",IF(G18&lt;2,"MEDIUM","HIGH")))</f>
        <v/>
      </c>
    </row>
    <row r="19" ht="15" customHeight="1" s="62">
      <c r="A19" s="52" t="n"/>
      <c r="B19" s="52" t="n"/>
      <c r="C19" s="52" t="n"/>
      <c r="D19" s="52" t="n"/>
      <c r="E19" s="52" t="n"/>
      <c r="F19" s="52" t="n"/>
      <c r="G19" s="52" t="n"/>
      <c r="H19" s="52" t="n"/>
      <c r="I19" s="52" t="n"/>
    </row>
    <row r="21" ht="15" customHeight="1" s="62">
      <c r="A21" s="63" t="inlineStr">
        <is>
          <t>UNIT STATUS — all units</t>
        </is>
      </c>
      <c r="G21" s="8" t="n"/>
      <c r="H21" s="8" t="n"/>
      <c r="I21" s="8" t="n"/>
    </row>
    <row r="22" ht="15" customHeight="1" s="62">
      <c r="A22" s="64" t="inlineStr">
        <is>
          <t>Every unit is listed. Priority and suggested action update automatically. Click any column header arrow in the table below to Sort or Filter (e.g. Balance).</t>
        </is>
      </c>
      <c r="G22" s="8" t="n"/>
      <c r="H22" s="8" t="n"/>
      <c r="I22" s="8" t="n"/>
    </row>
    <row r="23" ht="15" customHeight="1" s="62">
      <c r="A23" s="1" t="inlineStr">
        <is>
          <t>Unit</t>
        </is>
      </c>
      <c r="B23" s="1" t="inlineStr">
        <is>
          <t>Tenant</t>
        </is>
      </c>
      <c r="C23" s="1" t="inlineStr">
        <is>
          <t>Balance</t>
        </is>
      </c>
      <c r="D23" s="1" t="inlineStr">
        <is>
          <t>Months</t>
        </is>
      </c>
      <c r="E23" s="1" t="inlineStr">
        <is>
          <t>Priority</t>
        </is>
      </c>
      <c r="F23" s="1" t="inlineStr">
        <is>
          <t>Suggested Action</t>
        </is>
      </c>
      <c r="G23" s="8" t="n"/>
      <c r="H23" s="8" t="n"/>
      <c r="I23" s="8" t="n"/>
    </row>
    <row r="24" ht="15" customHeight="1" s="62">
      <c r="A24" s="2">
        <f>A4</f>
        <v/>
      </c>
      <c r="B24" s="9">
        <f>B4</f>
        <v/>
      </c>
      <c r="C24" s="5">
        <f>F4</f>
        <v/>
      </c>
      <c r="D24" s="10">
        <f>G4</f>
        <v/>
      </c>
      <c r="E24" s="2">
        <f>IF(F4&lt;=0,"PAID",IF(G4&lt;1,"LOW",IF(G4&lt;2,"MEDIUM","HIGH")))</f>
        <v/>
      </c>
      <c r="F24" s="2">
        <f>IF(F4&lt;=0,"NO ACTION NEEDED",IF(G4&lt;1,"MONITOR",IF(G4&lt;2,"FOLLOW UP","URGENT")))</f>
        <v/>
      </c>
      <c r="G24" s="8" t="n"/>
      <c r="H24" s="8" t="n"/>
      <c r="I24" s="8" t="n"/>
    </row>
    <row r="25" ht="15" customHeight="1" s="62">
      <c r="A25" s="2">
        <f>A5</f>
        <v/>
      </c>
      <c r="B25" s="11">
        <f>B5</f>
        <v/>
      </c>
      <c r="C25" s="5">
        <f>F5</f>
        <v/>
      </c>
      <c r="D25" s="10">
        <f>G5</f>
        <v/>
      </c>
      <c r="E25" s="2">
        <f>IF(F5&lt;=0,"PAID",IF(G5&lt;1,"LOW",IF(G5&lt;2,"MEDIUM","HIGH")))</f>
        <v/>
      </c>
      <c r="F25" s="2">
        <f>IF(F5&lt;=0,"NO ACTION NEEDED",IF(G5&lt;1,"MONITOR",IF(G5&lt;2,"FOLLOW UP","URGENT")))</f>
        <v/>
      </c>
      <c r="G25" s="8" t="n"/>
      <c r="H25" s="8" t="n"/>
      <c r="I25" s="8" t="n"/>
    </row>
    <row r="26" ht="15" customHeight="1" s="62">
      <c r="A26" s="2">
        <f>A6</f>
        <v/>
      </c>
      <c r="B26" s="9">
        <f>B6</f>
        <v/>
      </c>
      <c r="C26" s="5">
        <f>F6</f>
        <v/>
      </c>
      <c r="D26" s="10">
        <f>G6</f>
        <v/>
      </c>
      <c r="E26" s="2">
        <f>IF(F6&lt;=0,"PAID",IF(G6&lt;1,"LOW",IF(G6&lt;2,"MEDIUM","HIGH")))</f>
        <v/>
      </c>
      <c r="F26" s="2">
        <f>IF(F6&lt;=0,"NO ACTION NEEDED",IF(G6&lt;1,"MONITOR",IF(G6&lt;2,"FOLLOW UP","URGENT")))</f>
        <v/>
      </c>
      <c r="G26" s="8" t="n"/>
      <c r="H26" s="8" t="n"/>
      <c r="I26" s="8" t="n"/>
    </row>
    <row r="27" ht="15" customHeight="1" s="62">
      <c r="A27" s="2">
        <f>A7</f>
        <v/>
      </c>
      <c r="B27" s="9">
        <f>B7</f>
        <v/>
      </c>
      <c r="C27" s="5">
        <f>F7</f>
        <v/>
      </c>
      <c r="D27" s="10">
        <f>G7</f>
        <v/>
      </c>
      <c r="E27" s="2">
        <f>IF(F7&lt;=0,"PAID",IF(G7&lt;1,"LOW",IF(G7&lt;2,"MEDIUM","HIGH")))</f>
        <v/>
      </c>
      <c r="F27" s="2">
        <f>IF(F7&lt;=0,"NO ACTION NEEDED",IF(G7&lt;1,"MONITOR",IF(G7&lt;2,"FOLLOW UP","URGENT")))</f>
        <v/>
      </c>
      <c r="G27" s="8" t="n"/>
      <c r="H27" s="8" t="n"/>
      <c r="I27" s="8" t="n"/>
    </row>
    <row r="28" ht="15" customHeight="1" s="62">
      <c r="A28" s="2">
        <f>A8</f>
        <v/>
      </c>
      <c r="B28" s="9">
        <f>B8</f>
        <v/>
      </c>
      <c r="C28" s="5">
        <f>F8</f>
        <v/>
      </c>
      <c r="D28" s="10">
        <f>G8</f>
        <v/>
      </c>
      <c r="E28" s="2">
        <f>IF(F8&lt;=0,"PAID",IF(G8&lt;1,"LOW",IF(G8&lt;2,"MEDIUM","HIGH")))</f>
        <v/>
      </c>
      <c r="F28" s="2">
        <f>IF(F8&lt;=0,"NO ACTION NEEDED",IF(G8&lt;1,"MONITOR",IF(G8&lt;2,"FOLLOW UP","URGENT")))</f>
        <v/>
      </c>
      <c r="G28" s="8" t="n"/>
      <c r="H28" s="8" t="n"/>
      <c r="I28" s="8" t="n"/>
    </row>
    <row r="29" ht="15" customHeight="1" s="62">
      <c r="A29" s="2">
        <f>A9</f>
        <v/>
      </c>
      <c r="B29" s="11">
        <f>B9</f>
        <v/>
      </c>
      <c r="C29" s="5">
        <f>F9</f>
        <v/>
      </c>
      <c r="D29" s="10">
        <f>G9</f>
        <v/>
      </c>
      <c r="E29" s="2">
        <f>IF(F9&lt;=0,"PAID",IF(G9&lt;1,"LOW",IF(G9&lt;2,"MEDIUM","HIGH")))</f>
        <v/>
      </c>
      <c r="F29" s="2">
        <f>IF(F9&lt;=0,"NO ACTION NEEDED",IF(G9&lt;1,"MONITOR",IF(G9&lt;2,"FOLLOW UP","URGENT")))</f>
        <v/>
      </c>
      <c r="G29" s="8" t="n"/>
      <c r="H29" s="8" t="n"/>
      <c r="I29" s="8" t="n"/>
    </row>
    <row r="30" ht="15" customHeight="1" s="62">
      <c r="A30" s="2">
        <f>A10</f>
        <v/>
      </c>
      <c r="B30" s="9">
        <f>B10</f>
        <v/>
      </c>
      <c r="C30" s="5">
        <f>F10</f>
        <v/>
      </c>
      <c r="D30" s="10">
        <f>G10</f>
        <v/>
      </c>
      <c r="E30" s="2">
        <f>IF(F10&lt;=0,"PAID",IF(G10&lt;1,"LOW",IF(G10&lt;2,"MEDIUM","HIGH")))</f>
        <v/>
      </c>
      <c r="F30" s="2">
        <f>IF(F10&lt;=0,"NO ACTION NEEDED",IF(G10&lt;1,"MONITOR",IF(G10&lt;2,"FOLLOW UP","URGENT")))</f>
        <v/>
      </c>
      <c r="G30" s="8" t="n"/>
      <c r="H30" s="8" t="n"/>
      <c r="I30" s="8" t="n"/>
    </row>
    <row r="31" ht="15" customHeight="1" s="62">
      <c r="A31" s="2">
        <f>A11</f>
        <v/>
      </c>
      <c r="B31" s="11">
        <f>B11</f>
        <v/>
      </c>
      <c r="C31" s="5">
        <f>F11</f>
        <v/>
      </c>
      <c r="D31" s="10">
        <f>G11</f>
        <v/>
      </c>
      <c r="E31" s="2">
        <f>IF(F11&lt;=0,"PAID",IF(G11&lt;1,"LOW",IF(G11&lt;2,"MEDIUM","HIGH")))</f>
        <v/>
      </c>
      <c r="F31" s="2">
        <f>IF(F11&lt;=0,"NO ACTION NEEDED",IF(G11&lt;1,"MONITOR",IF(G11&lt;2,"FOLLOW UP","URGENT")))</f>
        <v/>
      </c>
      <c r="G31" s="8" t="n"/>
      <c r="H31" s="8" t="n"/>
      <c r="I31" s="8" t="n"/>
    </row>
    <row r="32" ht="15" customHeight="1" s="62">
      <c r="A32" s="2">
        <f>A12</f>
        <v/>
      </c>
      <c r="B32" s="9">
        <f>B12</f>
        <v/>
      </c>
      <c r="C32" s="5">
        <f>F12</f>
        <v/>
      </c>
      <c r="D32" s="10">
        <f>G12</f>
        <v/>
      </c>
      <c r="E32" s="2">
        <f>IF(F12&lt;=0,"PAID",IF(G12&lt;1,"LOW",IF(G12&lt;2,"MEDIUM","HIGH")))</f>
        <v/>
      </c>
      <c r="F32" s="2">
        <f>IF(F12&lt;=0,"NO ACTION NEEDED",IF(G12&lt;1,"MONITOR",IF(G12&lt;2,"FOLLOW UP","URGENT")))</f>
        <v/>
      </c>
      <c r="G32" s="8" t="n"/>
      <c r="H32" s="8" t="n"/>
      <c r="I32" s="8" t="n"/>
    </row>
    <row r="33" ht="15" customHeight="1" s="62">
      <c r="A33" s="2">
        <f>A13</f>
        <v/>
      </c>
      <c r="B33" s="9">
        <f>B13</f>
        <v/>
      </c>
      <c r="C33" s="5">
        <f>F13</f>
        <v/>
      </c>
      <c r="D33" s="10">
        <f>G13</f>
        <v/>
      </c>
      <c r="E33" s="2">
        <f>IF(F13&lt;=0,"PAID",IF(G13&lt;1,"LOW",IF(G13&lt;2,"MEDIUM","HIGH")))</f>
        <v/>
      </c>
      <c r="F33" s="2">
        <f>IF(F13&lt;=0,"NO ACTION NEEDED",IF(G13&lt;1,"MONITOR",IF(G13&lt;2,"FOLLOW UP","URGENT")))</f>
        <v/>
      </c>
      <c r="G33" s="8" t="n"/>
      <c r="H33" s="8" t="n"/>
      <c r="I33" s="8" t="n"/>
    </row>
    <row r="34" ht="15" customHeight="1" s="62">
      <c r="A34" s="2">
        <f>A14</f>
        <v/>
      </c>
      <c r="B34" s="9">
        <f>B14</f>
        <v/>
      </c>
      <c r="C34" s="5">
        <f>F14</f>
        <v/>
      </c>
      <c r="D34" s="10">
        <f>G14</f>
        <v/>
      </c>
      <c r="E34" s="2">
        <f>IF(F14&lt;=0,"PAID",IF(G14&lt;1,"LOW",IF(G14&lt;2,"MEDIUM","HIGH")))</f>
        <v/>
      </c>
      <c r="F34" s="2">
        <f>IF(F14&lt;=0,"NO ACTION NEEDED",IF(G14&lt;1,"MONITOR",IF(G14&lt;2,"FOLLOW UP","URGENT")))</f>
        <v/>
      </c>
      <c r="G34" s="8" t="n"/>
      <c r="H34" s="8" t="n"/>
      <c r="I34" s="8" t="n"/>
    </row>
    <row r="35" ht="15" customHeight="1" s="62">
      <c r="A35" s="2">
        <f>A15</f>
        <v/>
      </c>
      <c r="B35" s="9">
        <f>B15</f>
        <v/>
      </c>
      <c r="C35" s="5">
        <f>F15</f>
        <v/>
      </c>
      <c r="D35" s="10">
        <f>G15</f>
        <v/>
      </c>
      <c r="E35" s="2">
        <f>IF(F15&lt;=0,"PAID",IF(G15&lt;1,"LOW",IF(G15&lt;2,"MEDIUM","HIGH")))</f>
        <v/>
      </c>
      <c r="F35" s="2">
        <f>IF(F15&lt;=0,"NO ACTION NEEDED",IF(G15&lt;1,"MONITOR",IF(G15&lt;2,"FOLLOW UP","URGENT")))</f>
        <v/>
      </c>
      <c r="G35" s="8" t="n"/>
      <c r="H35" s="8" t="n"/>
      <c r="I35" s="8" t="n"/>
    </row>
    <row r="36" ht="15" customHeight="1" s="62">
      <c r="A36" s="2">
        <f>A16</f>
        <v/>
      </c>
      <c r="B36" s="9">
        <f>B16</f>
        <v/>
      </c>
      <c r="C36" s="5">
        <f>F16</f>
        <v/>
      </c>
      <c r="D36" s="10">
        <f>G16</f>
        <v/>
      </c>
      <c r="E36" s="2">
        <f>IF(F16&lt;=0,"PAID",IF(G16&lt;1,"LOW",IF(G16&lt;2,"MEDIUM","HIGH")))</f>
        <v/>
      </c>
      <c r="F36" s="2">
        <f>IF(F16&lt;=0,"NO ACTION NEEDED",IF(G16&lt;1,"MONITOR",IF(G16&lt;2,"FOLLOW UP","URGENT")))</f>
        <v/>
      </c>
      <c r="G36" s="8" t="n"/>
      <c r="H36" s="8" t="n"/>
      <c r="I36" s="8" t="n"/>
    </row>
    <row r="37" ht="15" customHeight="1" s="62">
      <c r="A37" s="2">
        <f>A17</f>
        <v/>
      </c>
      <c r="B37" s="9">
        <f>B17</f>
        <v/>
      </c>
      <c r="C37" s="5">
        <f>F17</f>
        <v/>
      </c>
      <c r="D37" s="10">
        <f>G17</f>
        <v/>
      </c>
      <c r="E37" s="2">
        <f>IF(F17&lt;=0,"PAID",IF(G17&lt;1,"LOW",IF(G17&lt;2,"MEDIUM","HIGH")))</f>
        <v/>
      </c>
      <c r="F37" s="2">
        <f>IF(F17&lt;=0,"NO ACTION NEEDED",IF(G17&lt;1,"MONITOR",IF(G17&lt;2,"FOLLOW UP","URGENT")))</f>
        <v/>
      </c>
      <c r="G37" s="8" t="n"/>
      <c r="H37" s="8" t="n"/>
      <c r="I37" s="8" t="n"/>
    </row>
    <row r="38" ht="15" customHeight="1" s="62">
      <c r="A38" s="2">
        <f>A18</f>
        <v/>
      </c>
      <c r="B38" s="9">
        <f>B18</f>
        <v/>
      </c>
      <c r="C38" s="5">
        <f>F18</f>
        <v/>
      </c>
      <c r="D38" s="10">
        <f>G18</f>
        <v/>
      </c>
      <c r="E38" s="2">
        <f>IF(F18&lt;=0,"PAID",IF(G18&lt;1,"LOW",IF(G18&lt;2,"MEDIUM","HIGH")))</f>
        <v/>
      </c>
      <c r="F38" s="2">
        <f>IF(F18&lt;=0,"NO ACTION NEEDED",IF(G18&lt;1,"MONITOR",IF(G18&lt;2,"FOLLOW UP","URGENT")))</f>
        <v/>
      </c>
      <c r="G38" s="8" t="n"/>
      <c r="H38" s="8" t="n"/>
      <c r="I38" s="8" t="n"/>
    </row>
    <row r="39" ht="15" customHeight="1" s="62">
      <c r="A39" s="8" t="n"/>
      <c r="B39" s="8" t="n"/>
      <c r="C39" s="12" t="n"/>
      <c r="D39" s="13" t="n"/>
      <c r="E39" s="8" t="n"/>
      <c r="F39" s="8" t="n"/>
      <c r="G39" s="8" t="n"/>
      <c r="H39" s="8" t="n"/>
      <c r="I39" s="8" t="n"/>
    </row>
    <row r="40" ht="15" customHeight="1" s="62">
      <c r="A40" s="8" t="n"/>
      <c r="B40" s="8" t="n"/>
      <c r="C40" s="12" t="n"/>
      <c r="D40" s="13" t="n"/>
      <c r="E40" s="8" t="n"/>
      <c r="F40" s="8" t="n"/>
      <c r="G40" s="8" t="n"/>
      <c r="H40" s="8" t="n"/>
      <c r="I40" s="8" t="n"/>
    </row>
    <row r="41" ht="15" customHeight="1" s="62">
      <c r="A41" s="8" t="n"/>
      <c r="B41" s="8" t="n"/>
      <c r="C41" s="12" t="n"/>
      <c r="D41" s="13" t="n"/>
      <c r="E41" s="8" t="n"/>
      <c r="F41" s="8" t="n"/>
      <c r="G41" s="8" t="n"/>
      <c r="H41" s="8" t="n"/>
      <c r="I41" s="8" t="n"/>
    </row>
    <row r="42" ht="15" customHeight="1" s="62">
      <c r="A42" s="8" t="n"/>
      <c r="B42" s="8" t="n"/>
      <c r="C42" s="12" t="n"/>
      <c r="D42" s="13" t="n"/>
      <c r="E42" s="8" t="n"/>
      <c r="F42" s="8" t="n"/>
      <c r="G42" s="8" t="n"/>
      <c r="H42" s="8" t="n"/>
      <c r="I42" s="8" t="n"/>
    </row>
    <row r="43" ht="15" customHeight="1" s="62">
      <c r="A43" s="8" t="n"/>
      <c r="B43" s="8" t="n"/>
      <c r="C43" s="12" t="n"/>
      <c r="D43" s="13" t="n"/>
      <c r="E43" s="8" t="n"/>
      <c r="F43" s="8" t="n"/>
      <c r="G43" s="8" t="n"/>
      <c r="H43" s="8" t="n"/>
      <c r="I43" s="8" t="n"/>
    </row>
    <row r="44" ht="15" customHeight="1" s="62">
      <c r="A44" s="8" t="n"/>
      <c r="B44" s="8" t="n"/>
      <c r="C44" s="12" t="n"/>
      <c r="D44" s="13" t="n"/>
      <c r="E44" s="8" t="n"/>
      <c r="F44" s="8" t="n"/>
      <c r="G44" s="8" t="n"/>
      <c r="H44" s="8" t="n"/>
      <c r="I44" s="8" t="n"/>
    </row>
    <row r="45" ht="15" customHeight="1" s="62">
      <c r="A45" s="8" t="n"/>
      <c r="B45" s="8" t="n"/>
      <c r="C45" s="12" t="n"/>
      <c r="D45" s="13" t="n"/>
      <c r="E45" s="8" t="n"/>
      <c r="F45" s="8" t="n"/>
      <c r="G45" s="8" t="n"/>
      <c r="H45" s="8" t="n"/>
      <c r="I45" s="8" t="n"/>
    </row>
    <row r="46" ht="15" customHeight="1" s="62">
      <c r="A46" s="8" t="n"/>
      <c r="B46" s="8" t="n"/>
      <c r="C46" s="12" t="n"/>
      <c r="D46" s="13" t="n"/>
      <c r="E46" s="8" t="n"/>
      <c r="F46" s="8" t="n"/>
      <c r="G46" s="8" t="n"/>
      <c r="H46" s="8" t="n"/>
      <c r="I46" s="8" t="n"/>
    </row>
    <row r="47" ht="15" customHeight="1" s="62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</row>
    <row r="48" ht="15" customHeight="1" s="62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 ht="15" customHeight="1" s="62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</row>
    <row r="50" ht="15" customHeight="1" s="62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 ht="15" customHeight="1" s="62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</row>
    <row r="52" ht="15" customHeight="1" s="6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 ht="15" customHeight="1" s="62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</row>
    <row r="54" ht="15" customHeight="1" s="62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</row>
  </sheetData>
  <mergeCells count="4">
    <mergeCell ref="A1:I1"/>
    <mergeCell ref="A21:F21"/>
    <mergeCell ref="A22:F22"/>
    <mergeCell ref="A2:I2"/>
  </mergeCells>
  <conditionalFormatting sqref="C24:C38">
    <cfRule type="cellIs" priority="23" operator="lessThan" dxfId="157">
      <formula>0</formula>
    </cfRule>
    <cfRule type="cellIs" priority="24" operator="equal" dxfId="157">
      <formula>0</formula>
    </cfRule>
  </conditionalFormatting>
  <conditionalFormatting sqref="C24:C46">
    <cfRule type="cellIs" priority="12" operator="greaterThan" dxfId="156">
      <formula>0</formula>
    </cfRule>
  </conditionalFormatting>
  <conditionalFormatting sqref="E24:E38">
    <cfRule type="expression" priority="15" dxfId="157">
      <formula>E24="PAID"</formula>
    </cfRule>
    <cfRule type="expression" priority="16" dxfId="166">
      <formula>E24="LOW"</formula>
    </cfRule>
    <cfRule type="expression" priority="17" dxfId="165">
      <formula>E24="MEDIUM"</formula>
    </cfRule>
    <cfRule type="expression" priority="18" dxfId="156">
      <formula>E24="HIGH"</formula>
    </cfRule>
  </conditionalFormatting>
  <conditionalFormatting sqref="E32:E46">
    <cfRule type="expression" priority="13" dxfId="156">
      <formula>E32="HIGH"</formula>
    </cfRule>
    <cfRule type="expression" priority="14" dxfId="169">
      <formula>E32="MEDIUM"</formula>
    </cfRule>
  </conditionalFormatting>
  <conditionalFormatting sqref="F4:F18">
    <cfRule type="cellIs" priority="2" operator="lessThan" dxfId="157">
      <formula>0</formula>
    </cfRule>
    <cfRule type="cellIs" priority="3" operator="equal" dxfId="157">
      <formula>0</formula>
    </cfRule>
    <cfRule type="cellIs" priority="4" operator="greaterThan" dxfId="156">
      <formula>0</formula>
    </cfRule>
  </conditionalFormatting>
  <conditionalFormatting sqref="F24:F38">
    <cfRule type="expression" priority="19" dxfId="157">
      <formula>F24="NO ACTION NEEDED"</formula>
    </cfRule>
    <cfRule type="expression" priority="20" dxfId="166">
      <formula>F24="MONITOR"</formula>
    </cfRule>
    <cfRule type="expression" priority="21" dxfId="165">
      <formula>F24="FOLLOW UP"</formula>
    </cfRule>
    <cfRule type="expression" priority="22" dxfId="156">
      <formula>F24="URGENT"</formula>
    </cfRule>
  </conditionalFormatting>
  <conditionalFormatting sqref="I4:I18">
    <cfRule type="expression" priority="5" dxfId="156">
      <formula>I4="HIGH"</formula>
    </cfRule>
    <cfRule type="expression" priority="6" dxfId="169">
      <formula>I4="MEDIUM"</formula>
    </cfRule>
    <cfRule type="expression" priority="7" dxfId="166">
      <formula>I4="LOW"</formula>
    </cfRule>
    <cfRule type="expression" priority="8" dxfId="157">
      <formula>I4="PAID"</formula>
    </cfRule>
    <cfRule type="expression" priority="9" dxfId="166">
      <formula>I4="LOW"</formula>
    </cfRule>
    <cfRule type="expression" priority="10" dxfId="165">
      <formula>I4="MEDIUM"</formula>
    </cfRule>
    <cfRule type="expression" priority="11" dxfId="156">
      <formula>I4="HIGH"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9"/>
  <sheetViews>
    <sheetView zoomScaleNormal="100" workbookViewId="0">
      <selection activeCell="B3" sqref="B3"/>
    </sheetView>
  </sheetViews>
  <sheetFormatPr baseColWidth="8" defaultColWidth="8.6640625" defaultRowHeight="14.4"/>
  <cols>
    <col width="14" customWidth="1" style="62" min="1" max="2"/>
    <col width="20" customWidth="1" style="62" min="3" max="3"/>
    <col width="13" customWidth="1" style="62" min="4" max="4"/>
    <col width="10" customWidth="1" style="62" min="5" max="5"/>
    <col width="15" customWidth="1" style="62" min="6" max="7"/>
  </cols>
  <sheetData>
    <row r="1" ht="30" customHeight="1" s="62">
      <c r="A1" s="61" t="inlineStr">
        <is>
          <t>TENANT STATEMENT</t>
        </is>
      </c>
    </row>
    <row r="2" ht="15" customHeight="1" s="62">
      <c r="A2" s="64" t="inlineStr">
        <is>
          <t>Select a unit in cell B3. The statement below updates automatically. Print this sheet (or export to PDF) to share with the tenant.</t>
        </is>
      </c>
    </row>
    <row r="3" ht="17.25" customHeight="1" s="62">
      <c r="A3" s="14" t="inlineStr">
        <is>
          <t>Select Unit:</t>
        </is>
      </c>
      <c r="B3" s="15" t="inlineStr">
        <is>
          <t>A1</t>
        </is>
      </c>
      <c r="C3" s="16" t="inlineStr">
        <is>
          <t>← Change this to generate another tenant's statement</t>
        </is>
      </c>
    </row>
    <row r="5" ht="15" customHeight="1" s="62">
      <c r="A5" s="17" t="inlineStr">
        <is>
          <t>Unit</t>
        </is>
      </c>
      <c r="B5" s="18">
        <f>B3</f>
        <v/>
      </c>
    </row>
    <row r="6" ht="15" customHeight="1" s="62">
      <c r="A6" s="17" t="inlineStr">
        <is>
          <t>Tenant</t>
        </is>
      </c>
      <c r="B6" s="18">
        <f>IFERROR(INDEX(Summary!B4:B18,MATCH(B3,Summary!A4:A18,0)),"")</f>
        <v/>
      </c>
    </row>
    <row r="7" ht="15" customHeight="1" s="62">
      <c r="A7" s="17" t="inlineStr">
        <is>
          <t>Monthly Rent</t>
        </is>
      </c>
      <c r="B7" s="19">
        <f>IFERROR(INDEX(Summary!C4:C18,MATCH(B3,Summary!A4:A18,0)),0)</f>
        <v/>
      </c>
    </row>
    <row r="8" ht="15" customHeight="1" s="62">
      <c r="A8" s="17" t="inlineStr">
        <is>
          <t>Garbage Fee</t>
        </is>
      </c>
      <c r="B8" s="19">
        <f>IFERROR(INDEX(Summary!D4:D18,MATCH(B3,Summary!A4:A18,0)),0)</f>
        <v/>
      </c>
    </row>
    <row r="9" ht="15" customHeight="1" s="62">
      <c r="A9" s="17" t="inlineStr">
        <is>
          <t>Current Balance</t>
        </is>
      </c>
      <c r="B9" s="19">
        <f>IFERROR(INDEX(Summary!E4:E18,MATCH(B3,Summary!A4:A18,0)),0)</f>
        <v/>
      </c>
    </row>
    <row r="10" ht="15" customHeight="1" s="62">
      <c r="A10" s="17" t="inlineStr">
        <is>
          <t>Deposit Held</t>
        </is>
      </c>
      <c r="B10" s="19">
        <f>IFERROR(INDEX(Summary!E4:E18,MATCH(B3,Summary!A4:A18,0)),0)</f>
        <v/>
      </c>
    </row>
    <row r="11" ht="15" customHeight="1" s="62">
      <c r="A11" s="67" t="inlineStr">
        <is>
          <t>TRANSACTION HISTORY</t>
        </is>
      </c>
    </row>
    <row r="12" ht="15" customHeight="1" s="62">
      <c r="A12" s="20" t="inlineStr">
        <is>
          <t>Date</t>
        </is>
      </c>
      <c r="B12" s="20" t="inlineStr">
        <is>
          <t>Month</t>
        </is>
      </c>
      <c r="C12" s="20" t="inlineStr">
        <is>
          <t>Description</t>
        </is>
      </c>
      <c r="D12" s="20" t="inlineStr">
        <is>
          <t>Rent Charged</t>
        </is>
      </c>
      <c r="E12" s="20" t="inlineStr">
        <is>
          <t>Garbage</t>
        </is>
      </c>
      <c r="F12" s="20" t="inlineStr">
        <is>
          <t>Payment Received</t>
        </is>
      </c>
      <c r="G12" s="20" t="inlineStr">
        <is>
          <t>Running Balance</t>
        </is>
      </c>
    </row>
    <row r="13" ht="15" customHeight="1" s="62">
      <c r="A13" s="21">
        <f>IF(INDIRECT("'"&amp;$B$3&amp;"'!A6")="","",INDIRECT("'"&amp;$B$3&amp;"'!A6"))</f>
        <v/>
      </c>
      <c r="B13" s="22">
        <f>IF(INDIRECT("'"&amp;$B$3&amp;"'!B6")="","",INDIRECT("'"&amp;$B$3&amp;"'!B6"))</f>
        <v/>
      </c>
      <c r="C13" s="22">
        <f>IF(INDIRECT("'"&amp;$B$3&amp;"'!C6")="","",INDIRECT("'"&amp;$B$3&amp;"'!C6"))</f>
        <v/>
      </c>
      <c r="D13" s="23">
        <f>IF(INDIRECT("'"&amp;$B$3&amp;"'!E6")="","",INDIRECT("'"&amp;$B$3&amp;"'!E6"))</f>
        <v/>
      </c>
      <c r="E13" s="23">
        <f>IF(INDIRECT("'"&amp;$B$3&amp;"'!F6")="","",INDIRECT("'"&amp;$B$3&amp;"'!F6"))</f>
        <v/>
      </c>
      <c r="F13" s="23">
        <f>IF(INDIRECT("'"&amp;$B$3&amp;"'!G6")="","",INDIRECT("'"&amp;$B$3&amp;"'!G6"))</f>
        <v/>
      </c>
      <c r="G13" s="23">
        <f>IF(INDIRECT("'"&amp;$B$3&amp;"'!I6")="","",INDIRECT("'"&amp;$B$3&amp;"'!I6"))</f>
        <v/>
      </c>
    </row>
    <row r="14" ht="15" customHeight="1" s="62">
      <c r="A14" s="21">
        <f>IF(INDIRECT("'"&amp;$B$3&amp;"'!A7")="","",INDIRECT("'"&amp;$B$3&amp;"'!A7"))</f>
        <v/>
      </c>
      <c r="B14" s="22">
        <f>IF(INDIRECT("'"&amp;$B$3&amp;"'!B7")="","",INDIRECT("'"&amp;$B$3&amp;"'!B7"))</f>
        <v/>
      </c>
      <c r="C14" s="22">
        <f>IF(INDIRECT("'"&amp;$B$3&amp;"'!C7")="","",INDIRECT("'"&amp;$B$3&amp;"'!C7"))</f>
        <v/>
      </c>
      <c r="D14" s="23">
        <f>IF(INDIRECT("'"&amp;$B$3&amp;"'!E7")="","",INDIRECT("'"&amp;$B$3&amp;"'!E7"))</f>
        <v/>
      </c>
      <c r="E14" s="23">
        <f>IF(INDIRECT("'"&amp;$B$3&amp;"'!F7")="","",INDIRECT("'"&amp;$B$3&amp;"'!F7"))</f>
        <v/>
      </c>
      <c r="F14" s="23">
        <f>IF(INDIRECT("'"&amp;$B$3&amp;"'!G7")="","",INDIRECT("'"&amp;$B$3&amp;"'!G7"))</f>
        <v/>
      </c>
      <c r="G14" s="23">
        <f>IF(INDIRECT("'"&amp;$B$3&amp;"'!I7")="","",INDIRECT("'"&amp;$B$3&amp;"'!I7"))</f>
        <v/>
      </c>
    </row>
    <row r="15" ht="15" customHeight="1" s="62">
      <c r="A15" s="21">
        <f>IF(INDIRECT("'"&amp;$B$3&amp;"'!A8")="","",INDIRECT("'"&amp;$B$3&amp;"'!A8"))</f>
        <v/>
      </c>
      <c r="B15" s="22">
        <f>IF(INDIRECT("'"&amp;$B$3&amp;"'!B8")="","",INDIRECT("'"&amp;$B$3&amp;"'!B8"))</f>
        <v/>
      </c>
      <c r="C15" s="22">
        <f>IF(INDIRECT("'"&amp;$B$3&amp;"'!C8")="","",INDIRECT("'"&amp;$B$3&amp;"'!C8"))</f>
        <v/>
      </c>
      <c r="D15" s="23">
        <f>IF(INDIRECT("'"&amp;$B$3&amp;"'!E8")="","",INDIRECT("'"&amp;$B$3&amp;"'!E8"))</f>
        <v/>
      </c>
      <c r="E15" s="23">
        <f>IF(INDIRECT("'"&amp;$B$3&amp;"'!F8")="","",INDIRECT("'"&amp;$B$3&amp;"'!F8"))</f>
        <v/>
      </c>
      <c r="F15" s="23">
        <f>IF(INDIRECT("'"&amp;$B$3&amp;"'!G8")="","",INDIRECT("'"&amp;$B$3&amp;"'!G8"))</f>
        <v/>
      </c>
      <c r="G15" s="23">
        <f>IF(INDIRECT("'"&amp;$B$3&amp;"'!I8")="","",INDIRECT("'"&amp;$B$3&amp;"'!I8"))</f>
        <v/>
      </c>
    </row>
    <row r="16" ht="15" customHeight="1" s="62">
      <c r="A16" s="21">
        <f>IF(INDIRECT("'"&amp;$B$3&amp;"'!A9")="","",INDIRECT("'"&amp;$B$3&amp;"'!A9"))</f>
        <v/>
      </c>
      <c r="B16" s="22">
        <f>IF(INDIRECT("'"&amp;$B$3&amp;"'!B9")="","",INDIRECT("'"&amp;$B$3&amp;"'!B9"))</f>
        <v/>
      </c>
      <c r="C16" s="22">
        <f>IF(INDIRECT("'"&amp;$B$3&amp;"'!C9")="","",INDIRECT("'"&amp;$B$3&amp;"'!C9"))</f>
        <v/>
      </c>
      <c r="D16" s="23">
        <f>IF(INDIRECT("'"&amp;$B$3&amp;"'!E9")="","",INDIRECT("'"&amp;$B$3&amp;"'!E9"))</f>
        <v/>
      </c>
      <c r="E16" s="23">
        <f>IF(INDIRECT("'"&amp;$B$3&amp;"'!F9")="","",INDIRECT("'"&amp;$B$3&amp;"'!F9"))</f>
        <v/>
      </c>
      <c r="F16" s="23">
        <f>IF(INDIRECT("'"&amp;$B$3&amp;"'!G9")="","",INDIRECT("'"&amp;$B$3&amp;"'!G9"))</f>
        <v/>
      </c>
      <c r="G16" s="23">
        <f>IF(INDIRECT("'"&amp;$B$3&amp;"'!I9")="","",INDIRECT("'"&amp;$B$3&amp;"'!I9"))</f>
        <v/>
      </c>
    </row>
    <row r="17" ht="15" customHeight="1" s="62">
      <c r="A17" s="21">
        <f>IF(INDIRECT("'"&amp;$B$3&amp;"'!A10")="","",INDIRECT("'"&amp;$B$3&amp;"'!A10"))</f>
        <v/>
      </c>
      <c r="B17" s="22">
        <f>IF(INDIRECT("'"&amp;$B$3&amp;"'!B10")="","",INDIRECT("'"&amp;$B$3&amp;"'!B10"))</f>
        <v/>
      </c>
      <c r="C17" s="22">
        <f>IF(INDIRECT("'"&amp;$B$3&amp;"'!C10")="","",INDIRECT("'"&amp;$B$3&amp;"'!C10"))</f>
        <v/>
      </c>
      <c r="D17" s="23">
        <f>IF(INDIRECT("'"&amp;$B$3&amp;"'!E10")="","",INDIRECT("'"&amp;$B$3&amp;"'!E10"))</f>
        <v/>
      </c>
      <c r="E17" s="23">
        <f>IF(INDIRECT("'"&amp;$B$3&amp;"'!F10")="","",INDIRECT("'"&amp;$B$3&amp;"'!F10"))</f>
        <v/>
      </c>
      <c r="F17" s="23">
        <f>IF(INDIRECT("'"&amp;$B$3&amp;"'!G10")="","",INDIRECT("'"&amp;$B$3&amp;"'!G10"))</f>
        <v/>
      </c>
      <c r="G17" s="23">
        <f>IF(INDIRECT("'"&amp;$B$3&amp;"'!I10")="","",INDIRECT("'"&amp;$B$3&amp;"'!I10"))</f>
        <v/>
      </c>
    </row>
    <row r="18" ht="15" customHeight="1" s="62">
      <c r="A18" s="21">
        <f>IF(INDIRECT("'"&amp;$B$3&amp;"'!A11")="","",INDIRECT("'"&amp;$B$3&amp;"'!A11"))</f>
        <v/>
      </c>
      <c r="B18" s="22">
        <f>IF(INDIRECT("'"&amp;$B$3&amp;"'!B11")="","",INDIRECT("'"&amp;$B$3&amp;"'!B11"))</f>
        <v/>
      </c>
      <c r="C18" s="22">
        <f>IF(INDIRECT("'"&amp;$B$3&amp;"'!C11")="","",INDIRECT("'"&amp;$B$3&amp;"'!C11"))</f>
        <v/>
      </c>
      <c r="D18" s="23">
        <f>IF(INDIRECT("'"&amp;$B$3&amp;"'!E11")="","",INDIRECT("'"&amp;$B$3&amp;"'!E11"))</f>
        <v/>
      </c>
      <c r="E18" s="23">
        <f>IF(INDIRECT("'"&amp;$B$3&amp;"'!F11")="","",INDIRECT("'"&amp;$B$3&amp;"'!F11"))</f>
        <v/>
      </c>
      <c r="F18" s="23">
        <f>IF(INDIRECT("'"&amp;$B$3&amp;"'!G11")="","",INDIRECT("'"&amp;$B$3&amp;"'!G11"))</f>
        <v/>
      </c>
      <c r="G18" s="23">
        <f>IF(INDIRECT("'"&amp;$B$3&amp;"'!I11")="","",INDIRECT("'"&amp;$B$3&amp;"'!I11"))</f>
        <v/>
      </c>
    </row>
    <row r="19" ht="15" customHeight="1" s="62">
      <c r="A19" s="21">
        <f>IF(INDIRECT("'"&amp;$B$3&amp;"'!A12")="","",INDIRECT("'"&amp;$B$3&amp;"'!A12"))</f>
        <v/>
      </c>
      <c r="B19" s="22">
        <f>IF(INDIRECT("'"&amp;$B$3&amp;"'!B12")="","",INDIRECT("'"&amp;$B$3&amp;"'!B12"))</f>
        <v/>
      </c>
      <c r="C19" s="22">
        <f>IF(INDIRECT("'"&amp;$B$3&amp;"'!C12")="","",INDIRECT("'"&amp;$B$3&amp;"'!C12"))</f>
        <v/>
      </c>
      <c r="D19" s="23">
        <f>IF(INDIRECT("'"&amp;$B$3&amp;"'!E12")="","",INDIRECT("'"&amp;$B$3&amp;"'!E12"))</f>
        <v/>
      </c>
      <c r="E19" s="23">
        <f>IF(INDIRECT("'"&amp;$B$3&amp;"'!F12")="","",INDIRECT("'"&amp;$B$3&amp;"'!F12"))</f>
        <v/>
      </c>
      <c r="F19" s="23">
        <f>IF(INDIRECT("'"&amp;$B$3&amp;"'!G12")="","",INDIRECT("'"&amp;$B$3&amp;"'!G12"))</f>
        <v/>
      </c>
      <c r="G19" s="23">
        <f>IF(INDIRECT("'"&amp;$B$3&amp;"'!I12")="","",INDIRECT("'"&amp;$B$3&amp;"'!I12"))</f>
        <v/>
      </c>
    </row>
    <row r="20" ht="15" customHeight="1" s="62">
      <c r="A20" s="21">
        <f>IF(INDIRECT("'"&amp;$B$3&amp;"'!A13")="","",INDIRECT("'"&amp;$B$3&amp;"'!A13"))</f>
        <v/>
      </c>
      <c r="B20" s="22">
        <f>IF(INDIRECT("'"&amp;$B$3&amp;"'!B13")="","",INDIRECT("'"&amp;$B$3&amp;"'!B13"))</f>
        <v/>
      </c>
      <c r="C20" s="22">
        <f>IF(INDIRECT("'"&amp;$B$3&amp;"'!C13")="","",INDIRECT("'"&amp;$B$3&amp;"'!C13"))</f>
        <v/>
      </c>
      <c r="D20" s="23">
        <f>IF(INDIRECT("'"&amp;$B$3&amp;"'!E13")="","",INDIRECT("'"&amp;$B$3&amp;"'!E13"))</f>
        <v/>
      </c>
      <c r="E20" s="23">
        <f>IF(INDIRECT("'"&amp;$B$3&amp;"'!F13")="","",INDIRECT("'"&amp;$B$3&amp;"'!F13"))</f>
        <v/>
      </c>
      <c r="F20" s="23">
        <f>IF(INDIRECT("'"&amp;$B$3&amp;"'!G13")="","",INDIRECT("'"&amp;$B$3&amp;"'!G13"))</f>
        <v/>
      </c>
      <c r="G20" s="23">
        <f>IF(INDIRECT("'"&amp;$B$3&amp;"'!I13")="","",INDIRECT("'"&amp;$B$3&amp;"'!I13"))</f>
        <v/>
      </c>
    </row>
    <row r="21" ht="15" customHeight="1" s="62">
      <c r="A21" s="21">
        <f>IF(INDIRECT("'"&amp;$B$3&amp;"'!A14")="","",INDIRECT("'"&amp;$B$3&amp;"'!A14"))</f>
        <v/>
      </c>
      <c r="B21" s="22">
        <f>IF(INDIRECT("'"&amp;$B$3&amp;"'!B14")="","",INDIRECT("'"&amp;$B$3&amp;"'!B14"))</f>
        <v/>
      </c>
      <c r="C21" s="22">
        <f>IF(INDIRECT("'"&amp;$B$3&amp;"'!C14")="","",INDIRECT("'"&amp;$B$3&amp;"'!C14"))</f>
        <v/>
      </c>
      <c r="D21" s="23">
        <f>IF(INDIRECT("'"&amp;$B$3&amp;"'!E14")="","",INDIRECT("'"&amp;$B$3&amp;"'!E14"))</f>
        <v/>
      </c>
      <c r="E21" s="23">
        <f>IF(INDIRECT("'"&amp;$B$3&amp;"'!F14")="","",INDIRECT("'"&amp;$B$3&amp;"'!F14"))</f>
        <v/>
      </c>
      <c r="F21" s="23">
        <f>IF(INDIRECT("'"&amp;$B$3&amp;"'!G14")="","",INDIRECT("'"&amp;$B$3&amp;"'!G14"))</f>
        <v/>
      </c>
      <c r="G21" s="23">
        <f>IF(INDIRECT("'"&amp;$B$3&amp;"'!I14")="","",INDIRECT("'"&amp;$B$3&amp;"'!I14"))</f>
        <v/>
      </c>
    </row>
    <row r="22" ht="15" customHeight="1" s="62">
      <c r="A22" s="21">
        <f>IF(INDIRECT("'"&amp;$B$3&amp;"'!A15")="","",INDIRECT("'"&amp;$B$3&amp;"'!A15"))</f>
        <v/>
      </c>
      <c r="B22" s="22">
        <f>IF(INDIRECT("'"&amp;$B$3&amp;"'!B15")="","",INDIRECT("'"&amp;$B$3&amp;"'!B15"))</f>
        <v/>
      </c>
      <c r="C22" s="22">
        <f>IF(INDIRECT("'"&amp;$B$3&amp;"'!C15")="","",INDIRECT("'"&amp;$B$3&amp;"'!C15"))</f>
        <v/>
      </c>
      <c r="D22" s="23">
        <f>IF(INDIRECT("'"&amp;$B$3&amp;"'!E15")="","",INDIRECT("'"&amp;$B$3&amp;"'!E15"))</f>
        <v/>
      </c>
      <c r="E22" s="23">
        <f>IF(INDIRECT("'"&amp;$B$3&amp;"'!F15")="","",INDIRECT("'"&amp;$B$3&amp;"'!F15"))</f>
        <v/>
      </c>
      <c r="F22" s="23">
        <f>IF(INDIRECT("'"&amp;$B$3&amp;"'!G15")="","",INDIRECT("'"&amp;$B$3&amp;"'!G15"))</f>
        <v/>
      </c>
      <c r="G22" s="23">
        <f>IF(INDIRECT("'"&amp;$B$3&amp;"'!I15")="","",INDIRECT("'"&amp;$B$3&amp;"'!I15"))</f>
        <v/>
      </c>
    </row>
    <row r="23" ht="15" customHeight="1" s="62">
      <c r="A23" s="21">
        <f>IF(INDIRECT("'"&amp;$B$3&amp;"'!A16")="","",INDIRECT("'"&amp;$B$3&amp;"'!A16"))</f>
        <v/>
      </c>
      <c r="B23" s="22">
        <f>IF(INDIRECT("'"&amp;$B$3&amp;"'!B16")="","",INDIRECT("'"&amp;$B$3&amp;"'!B16"))</f>
        <v/>
      </c>
      <c r="C23" s="22">
        <f>IF(INDIRECT("'"&amp;$B$3&amp;"'!C16")="","",INDIRECT("'"&amp;$B$3&amp;"'!C16"))</f>
        <v/>
      </c>
      <c r="D23" s="23">
        <f>IF(INDIRECT("'"&amp;$B$3&amp;"'!E16")="","",INDIRECT("'"&amp;$B$3&amp;"'!E16"))</f>
        <v/>
      </c>
      <c r="E23" s="23">
        <f>IF(INDIRECT("'"&amp;$B$3&amp;"'!F16")="","",INDIRECT("'"&amp;$B$3&amp;"'!F16"))</f>
        <v/>
      </c>
      <c r="F23" s="23">
        <f>IF(INDIRECT("'"&amp;$B$3&amp;"'!G16")="","",INDIRECT("'"&amp;$B$3&amp;"'!G16"))</f>
        <v/>
      </c>
      <c r="G23" s="23">
        <f>IF(INDIRECT("'"&amp;$B$3&amp;"'!I16")="","",INDIRECT("'"&amp;$B$3&amp;"'!I16"))</f>
        <v/>
      </c>
    </row>
    <row r="24" ht="15" customHeight="1" s="62">
      <c r="A24" s="21">
        <f>IF(INDIRECT("'"&amp;$B$3&amp;"'!A17")="","",INDIRECT("'"&amp;$B$3&amp;"'!A17"))</f>
        <v/>
      </c>
      <c r="B24" s="22">
        <f>IF(INDIRECT("'"&amp;$B$3&amp;"'!B17")="","",INDIRECT("'"&amp;$B$3&amp;"'!B17"))</f>
        <v/>
      </c>
      <c r="C24" s="22">
        <f>IF(INDIRECT("'"&amp;$B$3&amp;"'!C17")="","",INDIRECT("'"&amp;$B$3&amp;"'!C17"))</f>
        <v/>
      </c>
      <c r="D24" s="23">
        <f>IF(INDIRECT("'"&amp;$B$3&amp;"'!E17")="","",INDIRECT("'"&amp;$B$3&amp;"'!E17"))</f>
        <v/>
      </c>
      <c r="E24" s="23">
        <f>IF(INDIRECT("'"&amp;$B$3&amp;"'!F17")="","",INDIRECT("'"&amp;$B$3&amp;"'!F17"))</f>
        <v/>
      </c>
      <c r="F24" s="23">
        <f>IF(INDIRECT("'"&amp;$B$3&amp;"'!G17")="","",INDIRECT("'"&amp;$B$3&amp;"'!G17"))</f>
        <v/>
      </c>
      <c r="G24" s="23">
        <f>IF(INDIRECT("'"&amp;$B$3&amp;"'!I17")="","",INDIRECT("'"&amp;$B$3&amp;"'!I17"))</f>
        <v/>
      </c>
    </row>
    <row r="25" ht="15" customHeight="1" s="62">
      <c r="A25" s="21">
        <f>IF(INDIRECT("'"&amp;$B$3&amp;"'!A18")="","",INDIRECT("'"&amp;$B$3&amp;"'!A18"))</f>
        <v/>
      </c>
      <c r="B25" s="22">
        <f>IF(INDIRECT("'"&amp;$B$3&amp;"'!B18")="","",INDIRECT("'"&amp;$B$3&amp;"'!B18"))</f>
        <v/>
      </c>
      <c r="C25" s="22">
        <f>IF(INDIRECT("'"&amp;$B$3&amp;"'!C18")="","",INDIRECT("'"&amp;$B$3&amp;"'!C18"))</f>
        <v/>
      </c>
      <c r="D25" s="23">
        <f>IF(INDIRECT("'"&amp;$B$3&amp;"'!E18")="","",INDIRECT("'"&amp;$B$3&amp;"'!E18"))</f>
        <v/>
      </c>
      <c r="E25" s="23">
        <f>IF(INDIRECT("'"&amp;$B$3&amp;"'!F18")="","",INDIRECT("'"&amp;$B$3&amp;"'!F18"))</f>
        <v/>
      </c>
      <c r="F25" s="23">
        <f>IF(INDIRECT("'"&amp;$B$3&amp;"'!G18")="","",INDIRECT("'"&amp;$B$3&amp;"'!G18"))</f>
        <v/>
      </c>
      <c r="G25" s="23">
        <f>IF(INDIRECT("'"&amp;$B$3&amp;"'!I18")="","",INDIRECT("'"&amp;$B$3&amp;"'!I18"))</f>
        <v/>
      </c>
    </row>
    <row r="26" ht="15" customHeight="1" s="62">
      <c r="A26" s="21">
        <f>IF(INDIRECT("'"&amp;$B$3&amp;"'!A19")="","",INDIRECT("'"&amp;$B$3&amp;"'!A19"))</f>
        <v/>
      </c>
      <c r="B26" s="22">
        <f>IF(INDIRECT("'"&amp;$B$3&amp;"'!B19")="","",INDIRECT("'"&amp;$B$3&amp;"'!B19"))</f>
        <v/>
      </c>
      <c r="C26" s="22">
        <f>IF(INDIRECT("'"&amp;$B$3&amp;"'!C19")="","",INDIRECT("'"&amp;$B$3&amp;"'!C19"))</f>
        <v/>
      </c>
      <c r="D26" s="23">
        <f>IF(INDIRECT("'"&amp;$B$3&amp;"'!E19")="","",INDIRECT("'"&amp;$B$3&amp;"'!E19"))</f>
        <v/>
      </c>
      <c r="E26" s="23">
        <f>IF(INDIRECT("'"&amp;$B$3&amp;"'!F19")="","",INDIRECT("'"&amp;$B$3&amp;"'!F19"))</f>
        <v/>
      </c>
      <c r="F26" s="23">
        <f>IF(INDIRECT("'"&amp;$B$3&amp;"'!G19")="","",INDIRECT("'"&amp;$B$3&amp;"'!G19"))</f>
        <v/>
      </c>
      <c r="G26" s="23">
        <f>IF(INDIRECT("'"&amp;$B$3&amp;"'!I19")="","",INDIRECT("'"&amp;$B$3&amp;"'!I19"))</f>
        <v/>
      </c>
    </row>
    <row r="27" ht="15" customHeight="1" s="62">
      <c r="A27" s="21">
        <f>IF(INDIRECT("'"&amp;$B$3&amp;"'!A20")="","",INDIRECT("'"&amp;$B$3&amp;"'!A20"))</f>
        <v/>
      </c>
      <c r="B27" s="22">
        <f>IF(INDIRECT("'"&amp;$B$3&amp;"'!B20")="","",INDIRECT("'"&amp;$B$3&amp;"'!B20"))</f>
        <v/>
      </c>
      <c r="C27" s="22">
        <f>IF(INDIRECT("'"&amp;$B$3&amp;"'!C20")="","",INDIRECT("'"&amp;$B$3&amp;"'!C20"))</f>
        <v/>
      </c>
      <c r="D27" s="23">
        <f>IF(INDIRECT("'"&amp;$B$3&amp;"'!E20")="","",INDIRECT("'"&amp;$B$3&amp;"'!E20"))</f>
        <v/>
      </c>
      <c r="E27" s="23">
        <f>IF(INDIRECT("'"&amp;$B$3&amp;"'!F20")="","",INDIRECT("'"&amp;$B$3&amp;"'!F20"))</f>
        <v/>
      </c>
      <c r="F27" s="23">
        <f>IF(INDIRECT("'"&amp;$B$3&amp;"'!G20")="","",INDIRECT("'"&amp;$B$3&amp;"'!G20"))</f>
        <v/>
      </c>
      <c r="G27" s="23">
        <f>IF(INDIRECT("'"&amp;$B$3&amp;"'!I20")="","",INDIRECT("'"&amp;$B$3&amp;"'!I20"))</f>
        <v/>
      </c>
    </row>
    <row r="28" ht="15" customHeight="1" s="62">
      <c r="A28" s="21">
        <f>IF(INDIRECT("'"&amp;$B$3&amp;"'!A21")="","",INDIRECT("'"&amp;$B$3&amp;"'!A21"))</f>
        <v/>
      </c>
      <c r="B28" s="22">
        <f>IF(INDIRECT("'"&amp;$B$3&amp;"'!B21")="","",INDIRECT("'"&amp;$B$3&amp;"'!B21"))</f>
        <v/>
      </c>
      <c r="C28" s="22">
        <f>IF(INDIRECT("'"&amp;$B$3&amp;"'!C21")="","",INDIRECT("'"&amp;$B$3&amp;"'!C21"))</f>
        <v/>
      </c>
      <c r="D28" s="23">
        <f>IF(INDIRECT("'"&amp;$B$3&amp;"'!E21")="","",INDIRECT("'"&amp;$B$3&amp;"'!E21"))</f>
        <v/>
      </c>
      <c r="E28" s="23">
        <f>IF(INDIRECT("'"&amp;$B$3&amp;"'!F21")="","",INDIRECT("'"&amp;$B$3&amp;"'!F21"))</f>
        <v/>
      </c>
      <c r="F28" s="23">
        <f>IF(INDIRECT("'"&amp;$B$3&amp;"'!G21")="","",INDIRECT("'"&amp;$B$3&amp;"'!G21"))</f>
        <v/>
      </c>
      <c r="G28" s="23">
        <f>IF(INDIRECT("'"&amp;$B$3&amp;"'!I21")="","",INDIRECT("'"&amp;$B$3&amp;"'!I21"))</f>
        <v/>
      </c>
    </row>
    <row r="29" ht="15" customHeight="1" s="62">
      <c r="A29" s="21">
        <f>IF(INDIRECT("'"&amp;$B$3&amp;"'!A22")="","",INDIRECT("'"&amp;$B$3&amp;"'!A22"))</f>
        <v/>
      </c>
      <c r="B29" s="22">
        <f>IF(INDIRECT("'"&amp;$B$3&amp;"'!B22")="","",INDIRECT("'"&amp;$B$3&amp;"'!B22"))</f>
        <v/>
      </c>
      <c r="C29" s="22">
        <f>IF(INDIRECT("'"&amp;$B$3&amp;"'!C22")="","",INDIRECT("'"&amp;$B$3&amp;"'!C22"))</f>
        <v/>
      </c>
      <c r="D29" s="23">
        <f>IF(INDIRECT("'"&amp;$B$3&amp;"'!E22")="","",INDIRECT("'"&amp;$B$3&amp;"'!E22"))</f>
        <v/>
      </c>
      <c r="E29" s="23">
        <f>IF(INDIRECT("'"&amp;$B$3&amp;"'!F22")="","",INDIRECT("'"&amp;$B$3&amp;"'!F22"))</f>
        <v/>
      </c>
      <c r="F29" s="23">
        <f>IF(INDIRECT("'"&amp;$B$3&amp;"'!G22")="","",INDIRECT("'"&amp;$B$3&amp;"'!G22"))</f>
        <v/>
      </c>
      <c r="G29" s="23">
        <f>IF(INDIRECT("'"&amp;$B$3&amp;"'!I22")="","",INDIRECT("'"&amp;$B$3&amp;"'!I22"))</f>
        <v/>
      </c>
    </row>
    <row r="30" ht="15" customHeight="1" s="62">
      <c r="A30" s="21">
        <f>IF(INDIRECT("'"&amp;$B$3&amp;"'!A23")="","",INDIRECT("'"&amp;$B$3&amp;"'!A23"))</f>
        <v/>
      </c>
      <c r="B30" s="22">
        <f>IF(INDIRECT("'"&amp;$B$3&amp;"'!B23")="","",INDIRECT("'"&amp;$B$3&amp;"'!B23"))</f>
        <v/>
      </c>
      <c r="C30" s="22">
        <f>IF(INDIRECT("'"&amp;$B$3&amp;"'!C23")="","",INDIRECT("'"&amp;$B$3&amp;"'!C23"))</f>
        <v/>
      </c>
      <c r="D30" s="23">
        <f>IF(INDIRECT("'"&amp;$B$3&amp;"'!E23")="","",INDIRECT("'"&amp;$B$3&amp;"'!E23"))</f>
        <v/>
      </c>
      <c r="E30" s="23">
        <f>IF(INDIRECT("'"&amp;$B$3&amp;"'!F23")="","",INDIRECT("'"&amp;$B$3&amp;"'!F23"))</f>
        <v/>
      </c>
      <c r="F30" s="23">
        <f>IF(INDIRECT("'"&amp;$B$3&amp;"'!G23")="","",INDIRECT("'"&amp;$B$3&amp;"'!G23"))</f>
        <v/>
      </c>
      <c r="G30" s="23">
        <f>IF(INDIRECT("'"&amp;$B$3&amp;"'!I23")="","",INDIRECT("'"&amp;$B$3&amp;"'!I23"))</f>
        <v/>
      </c>
    </row>
    <row r="31" ht="15" customHeight="1" s="62">
      <c r="A31" s="21">
        <f>IF(INDIRECT("'"&amp;$B$3&amp;"'!A24")="","",INDIRECT("'"&amp;$B$3&amp;"'!A24"))</f>
        <v/>
      </c>
      <c r="B31" s="22">
        <f>IF(INDIRECT("'"&amp;$B$3&amp;"'!B24")="","",INDIRECT("'"&amp;$B$3&amp;"'!B24"))</f>
        <v/>
      </c>
      <c r="C31" s="22">
        <f>IF(INDIRECT("'"&amp;$B$3&amp;"'!C24")="","",INDIRECT("'"&amp;$B$3&amp;"'!C24"))</f>
        <v/>
      </c>
      <c r="D31" s="23">
        <f>IF(INDIRECT("'"&amp;$B$3&amp;"'!E24")="","",INDIRECT("'"&amp;$B$3&amp;"'!E24"))</f>
        <v/>
      </c>
      <c r="E31" s="23">
        <f>IF(INDIRECT("'"&amp;$B$3&amp;"'!F24")="","",INDIRECT("'"&amp;$B$3&amp;"'!F24"))</f>
        <v/>
      </c>
      <c r="F31" s="23">
        <f>IF(INDIRECT("'"&amp;$B$3&amp;"'!G24")="","",INDIRECT("'"&amp;$B$3&amp;"'!G24"))</f>
        <v/>
      </c>
      <c r="G31" s="23">
        <f>IF(INDIRECT("'"&amp;$B$3&amp;"'!I24")="","",INDIRECT("'"&amp;$B$3&amp;"'!I24"))</f>
        <v/>
      </c>
    </row>
    <row r="32" ht="15" customHeight="1" s="62">
      <c r="A32" s="21">
        <f>IF(INDIRECT("'"&amp;$B$3&amp;"'!A25")="","",INDIRECT("'"&amp;$B$3&amp;"'!A25"))</f>
        <v/>
      </c>
      <c r="B32" s="22">
        <f>IF(INDIRECT("'"&amp;$B$3&amp;"'!B25")="","",INDIRECT("'"&amp;$B$3&amp;"'!B25"))</f>
        <v/>
      </c>
      <c r="C32" s="22">
        <f>IF(INDIRECT("'"&amp;$B$3&amp;"'!C25")="","",INDIRECT("'"&amp;$B$3&amp;"'!C25"))</f>
        <v/>
      </c>
      <c r="D32" s="23">
        <f>IF(INDIRECT("'"&amp;$B$3&amp;"'!E25")="","",INDIRECT("'"&amp;$B$3&amp;"'!E25"))</f>
        <v/>
      </c>
      <c r="E32" s="23">
        <f>IF(INDIRECT("'"&amp;$B$3&amp;"'!F25")="","",INDIRECT("'"&amp;$B$3&amp;"'!F25"))</f>
        <v/>
      </c>
      <c r="F32" s="23">
        <f>IF(INDIRECT("'"&amp;$B$3&amp;"'!G25")="","",INDIRECT("'"&amp;$B$3&amp;"'!G25"))</f>
        <v/>
      </c>
      <c r="G32" s="23">
        <f>IF(INDIRECT("'"&amp;$B$3&amp;"'!I25")="","",INDIRECT("'"&amp;$B$3&amp;"'!I25"))</f>
        <v/>
      </c>
    </row>
    <row r="33" ht="15" customHeight="1" s="62">
      <c r="A33" s="21">
        <f>IF(INDIRECT("'"&amp;$B$3&amp;"'!A26")="","",INDIRECT("'"&amp;$B$3&amp;"'!A26"))</f>
        <v/>
      </c>
      <c r="B33" s="22">
        <f>IF(INDIRECT("'"&amp;$B$3&amp;"'!B26")="","",INDIRECT("'"&amp;$B$3&amp;"'!B26"))</f>
        <v/>
      </c>
      <c r="C33" s="22">
        <f>IF(INDIRECT("'"&amp;$B$3&amp;"'!C26")="","",INDIRECT("'"&amp;$B$3&amp;"'!C26"))</f>
        <v/>
      </c>
      <c r="D33" s="23">
        <f>IF(INDIRECT("'"&amp;$B$3&amp;"'!E26")="","",INDIRECT("'"&amp;$B$3&amp;"'!E26"))</f>
        <v/>
      </c>
      <c r="E33" s="23">
        <f>IF(INDIRECT("'"&amp;$B$3&amp;"'!F26")="","",INDIRECT("'"&amp;$B$3&amp;"'!F26"))</f>
        <v/>
      </c>
      <c r="F33" s="23">
        <f>IF(INDIRECT("'"&amp;$B$3&amp;"'!G26")="","",INDIRECT("'"&amp;$B$3&amp;"'!G26"))</f>
        <v/>
      </c>
      <c r="G33" s="23">
        <f>IF(INDIRECT("'"&amp;$B$3&amp;"'!I26")="","",INDIRECT("'"&amp;$B$3&amp;"'!I26"))</f>
        <v/>
      </c>
    </row>
    <row r="34" ht="15" customHeight="1" s="62">
      <c r="A34" s="21">
        <f>IF(INDIRECT("'"&amp;$B$3&amp;"'!A27")="","",INDIRECT("'"&amp;$B$3&amp;"'!A27"))</f>
        <v/>
      </c>
      <c r="B34" s="22">
        <f>IF(INDIRECT("'"&amp;$B$3&amp;"'!B27")="","",INDIRECT("'"&amp;$B$3&amp;"'!B27"))</f>
        <v/>
      </c>
      <c r="C34" s="22">
        <f>IF(INDIRECT("'"&amp;$B$3&amp;"'!C27")="","",INDIRECT("'"&amp;$B$3&amp;"'!C27"))</f>
        <v/>
      </c>
      <c r="D34" s="23">
        <f>IF(INDIRECT("'"&amp;$B$3&amp;"'!E27")="","",INDIRECT("'"&amp;$B$3&amp;"'!E27"))</f>
        <v/>
      </c>
      <c r="E34" s="23">
        <f>IF(INDIRECT("'"&amp;$B$3&amp;"'!F27")="","",INDIRECT("'"&amp;$B$3&amp;"'!F27"))</f>
        <v/>
      </c>
      <c r="F34" s="23">
        <f>IF(INDIRECT("'"&amp;$B$3&amp;"'!G27")="","",INDIRECT("'"&amp;$B$3&amp;"'!G27"))</f>
        <v/>
      </c>
      <c r="G34" s="23">
        <f>IF(INDIRECT("'"&amp;$B$3&amp;"'!I27")="","",INDIRECT("'"&amp;$B$3&amp;"'!I27"))</f>
        <v/>
      </c>
    </row>
    <row r="35" ht="15" customHeight="1" s="62">
      <c r="A35" s="21">
        <f>IF(INDIRECT("'"&amp;$B$3&amp;"'!A28")="","",INDIRECT("'"&amp;$B$3&amp;"'!A28"))</f>
        <v/>
      </c>
      <c r="B35" s="22">
        <f>IF(INDIRECT("'"&amp;$B$3&amp;"'!B28")="","",INDIRECT("'"&amp;$B$3&amp;"'!B28"))</f>
        <v/>
      </c>
      <c r="C35" s="22">
        <f>IF(INDIRECT("'"&amp;$B$3&amp;"'!C28")="","",INDIRECT("'"&amp;$B$3&amp;"'!C28"))</f>
        <v/>
      </c>
      <c r="D35" s="23">
        <f>IF(INDIRECT("'"&amp;$B$3&amp;"'!E28")="","",INDIRECT("'"&amp;$B$3&amp;"'!E28"))</f>
        <v/>
      </c>
      <c r="E35" s="23">
        <f>IF(INDIRECT("'"&amp;$B$3&amp;"'!F28")="","",INDIRECT("'"&amp;$B$3&amp;"'!F28"))</f>
        <v/>
      </c>
      <c r="F35" s="23">
        <f>IF(INDIRECT("'"&amp;$B$3&amp;"'!G28")="","",INDIRECT("'"&amp;$B$3&amp;"'!G28"))</f>
        <v/>
      </c>
      <c r="G35" s="23">
        <f>IF(INDIRECT("'"&amp;$B$3&amp;"'!I28")="","",INDIRECT("'"&amp;$B$3&amp;"'!I28"))</f>
        <v/>
      </c>
    </row>
    <row r="36" ht="15" customHeight="1" s="62">
      <c r="A36" s="21">
        <f>IF(INDIRECT("'"&amp;$B$3&amp;"'!A29")="","",INDIRECT("'"&amp;$B$3&amp;"'!A29"))</f>
        <v/>
      </c>
      <c r="B36" s="22">
        <f>IF(INDIRECT("'"&amp;$B$3&amp;"'!B29")="","",INDIRECT("'"&amp;$B$3&amp;"'!B29"))</f>
        <v/>
      </c>
      <c r="C36" s="22">
        <f>IF(INDIRECT("'"&amp;$B$3&amp;"'!C29")="","",INDIRECT("'"&amp;$B$3&amp;"'!C29"))</f>
        <v/>
      </c>
      <c r="D36" s="23">
        <f>IF(INDIRECT("'"&amp;$B$3&amp;"'!E29")="","",INDIRECT("'"&amp;$B$3&amp;"'!E29"))</f>
        <v/>
      </c>
      <c r="E36" s="23">
        <f>IF(INDIRECT("'"&amp;$B$3&amp;"'!F29")="","",INDIRECT("'"&amp;$B$3&amp;"'!F29"))</f>
        <v/>
      </c>
      <c r="F36" s="23">
        <f>IF(INDIRECT("'"&amp;$B$3&amp;"'!G29")="","",INDIRECT("'"&amp;$B$3&amp;"'!G29"))</f>
        <v/>
      </c>
      <c r="G36" s="23">
        <f>IF(INDIRECT("'"&amp;$B$3&amp;"'!I29")="","",INDIRECT("'"&amp;$B$3&amp;"'!I29"))</f>
        <v/>
      </c>
    </row>
    <row r="37" ht="15" customHeight="1" s="62">
      <c r="A37" s="21">
        <f>IF(INDIRECT("'"&amp;$B$3&amp;"'!A30")="","",INDIRECT("'"&amp;$B$3&amp;"'!A30"))</f>
        <v/>
      </c>
      <c r="B37" s="22">
        <f>IF(INDIRECT("'"&amp;$B$3&amp;"'!B30")="","",INDIRECT("'"&amp;$B$3&amp;"'!B30"))</f>
        <v/>
      </c>
      <c r="C37" s="22">
        <f>IF(INDIRECT("'"&amp;$B$3&amp;"'!C30")="","",INDIRECT("'"&amp;$B$3&amp;"'!C30"))</f>
        <v/>
      </c>
      <c r="D37" s="23">
        <f>IF(INDIRECT("'"&amp;$B$3&amp;"'!E30")="","",INDIRECT("'"&amp;$B$3&amp;"'!E30"))</f>
        <v/>
      </c>
      <c r="E37" s="23">
        <f>IF(INDIRECT("'"&amp;$B$3&amp;"'!F30")="","",INDIRECT("'"&amp;$B$3&amp;"'!F30"))</f>
        <v/>
      </c>
      <c r="F37" s="23">
        <f>IF(INDIRECT("'"&amp;$B$3&amp;"'!G30")="","",INDIRECT("'"&amp;$B$3&amp;"'!G30"))</f>
        <v/>
      </c>
      <c r="G37" s="23">
        <f>IF(INDIRECT("'"&amp;$B$3&amp;"'!I30")="","",INDIRECT("'"&amp;$B$3&amp;"'!I30"))</f>
        <v/>
      </c>
    </row>
    <row r="38" ht="15" customHeight="1" s="62">
      <c r="A38" s="21">
        <f>IF(INDIRECT("'"&amp;$B$3&amp;"'!A31")="","",INDIRECT("'"&amp;$B$3&amp;"'!A31"))</f>
        <v/>
      </c>
      <c r="B38" s="22">
        <f>IF(INDIRECT("'"&amp;$B$3&amp;"'!B31")="","",INDIRECT("'"&amp;$B$3&amp;"'!B31"))</f>
        <v/>
      </c>
      <c r="C38" s="22">
        <f>IF(INDIRECT("'"&amp;$B$3&amp;"'!C31")="","",INDIRECT("'"&amp;$B$3&amp;"'!C31"))</f>
        <v/>
      </c>
      <c r="D38" s="23">
        <f>IF(INDIRECT("'"&amp;$B$3&amp;"'!E31")="","",INDIRECT("'"&amp;$B$3&amp;"'!E31"))</f>
        <v/>
      </c>
      <c r="E38" s="23">
        <f>IF(INDIRECT("'"&amp;$B$3&amp;"'!F31")="","",INDIRECT("'"&amp;$B$3&amp;"'!F31"))</f>
        <v/>
      </c>
      <c r="F38" s="23">
        <f>IF(INDIRECT("'"&amp;$B$3&amp;"'!G31")="","",INDIRECT("'"&amp;$B$3&amp;"'!G31"))</f>
        <v/>
      </c>
      <c r="G38" s="23">
        <f>IF(INDIRECT("'"&amp;$B$3&amp;"'!I31")="","",INDIRECT("'"&amp;$B$3&amp;"'!I31"))</f>
        <v/>
      </c>
    </row>
    <row r="39" ht="15" customHeight="1" s="62">
      <c r="A39" s="21">
        <f>IF(INDIRECT("'"&amp;$B$3&amp;"'!A32")="","",INDIRECT("'"&amp;$B$3&amp;"'!A32"))</f>
        <v/>
      </c>
      <c r="B39" s="22">
        <f>IF(INDIRECT("'"&amp;$B$3&amp;"'!B32")="","",INDIRECT("'"&amp;$B$3&amp;"'!B32"))</f>
        <v/>
      </c>
      <c r="C39" s="22">
        <f>IF(INDIRECT("'"&amp;$B$3&amp;"'!C32")="","",INDIRECT("'"&amp;$B$3&amp;"'!C32"))</f>
        <v/>
      </c>
      <c r="D39" s="23">
        <f>IF(INDIRECT("'"&amp;$B$3&amp;"'!E32")="","",INDIRECT("'"&amp;$B$3&amp;"'!E32"))</f>
        <v/>
      </c>
      <c r="E39" s="23">
        <f>IF(INDIRECT("'"&amp;$B$3&amp;"'!F32")="","",INDIRECT("'"&amp;$B$3&amp;"'!F32"))</f>
        <v/>
      </c>
      <c r="F39" s="23">
        <f>IF(INDIRECT("'"&amp;$B$3&amp;"'!G32")="","",INDIRECT("'"&amp;$B$3&amp;"'!G32"))</f>
        <v/>
      </c>
      <c r="G39" s="23">
        <f>IF(INDIRECT("'"&amp;$B$3&amp;"'!I32")="","",INDIRECT("'"&amp;$B$3&amp;"'!I32"))</f>
        <v/>
      </c>
    </row>
    <row r="40" ht="15" customHeight="1" s="62">
      <c r="A40" s="21">
        <f>IF(INDIRECT("'"&amp;$B$3&amp;"'!A33")="","",INDIRECT("'"&amp;$B$3&amp;"'!A33"))</f>
        <v/>
      </c>
      <c r="B40" s="22">
        <f>IF(INDIRECT("'"&amp;$B$3&amp;"'!B33")="","",INDIRECT("'"&amp;$B$3&amp;"'!B33"))</f>
        <v/>
      </c>
      <c r="C40" s="22">
        <f>IF(INDIRECT("'"&amp;$B$3&amp;"'!C33")="","",INDIRECT("'"&amp;$B$3&amp;"'!C33"))</f>
        <v/>
      </c>
      <c r="D40" s="23">
        <f>IF(INDIRECT("'"&amp;$B$3&amp;"'!E33")="","",INDIRECT("'"&amp;$B$3&amp;"'!E33"))</f>
        <v/>
      </c>
      <c r="E40" s="23">
        <f>IF(INDIRECT("'"&amp;$B$3&amp;"'!F33")="","",INDIRECT("'"&amp;$B$3&amp;"'!F33"))</f>
        <v/>
      </c>
      <c r="F40" s="23">
        <f>IF(INDIRECT("'"&amp;$B$3&amp;"'!G33")="","",INDIRECT("'"&amp;$B$3&amp;"'!G33"))</f>
        <v/>
      </c>
      <c r="G40" s="23">
        <f>IF(INDIRECT("'"&amp;$B$3&amp;"'!I33")="","",INDIRECT("'"&amp;$B$3&amp;"'!I33"))</f>
        <v/>
      </c>
    </row>
    <row r="41" ht="15" customHeight="1" s="62">
      <c r="A41" s="21">
        <f>IF(INDIRECT("'"&amp;$B$3&amp;"'!A34")="","",INDIRECT("'"&amp;$B$3&amp;"'!A34"))</f>
        <v/>
      </c>
      <c r="B41" s="22">
        <f>IF(INDIRECT("'"&amp;$B$3&amp;"'!B34")="","",INDIRECT("'"&amp;$B$3&amp;"'!B34"))</f>
        <v/>
      </c>
      <c r="C41" s="22">
        <f>IF(INDIRECT("'"&amp;$B$3&amp;"'!C34")="","",INDIRECT("'"&amp;$B$3&amp;"'!C34"))</f>
        <v/>
      </c>
      <c r="D41" s="23">
        <f>IF(INDIRECT("'"&amp;$B$3&amp;"'!E34")="","",INDIRECT("'"&amp;$B$3&amp;"'!E34"))</f>
        <v/>
      </c>
      <c r="E41" s="23">
        <f>IF(INDIRECT("'"&amp;$B$3&amp;"'!F34")="","",INDIRECT("'"&amp;$B$3&amp;"'!F34"))</f>
        <v/>
      </c>
      <c r="F41" s="23">
        <f>IF(INDIRECT("'"&amp;$B$3&amp;"'!G34")="","",INDIRECT("'"&amp;$B$3&amp;"'!G34"))</f>
        <v/>
      </c>
      <c r="G41" s="23">
        <f>IF(INDIRECT("'"&amp;$B$3&amp;"'!I34")="","",INDIRECT("'"&amp;$B$3&amp;"'!I34"))</f>
        <v/>
      </c>
    </row>
    <row r="42" ht="15" customHeight="1" s="62">
      <c r="A42" s="21">
        <f>IF(INDIRECT("'"&amp;$B$3&amp;"'!A35")="","",INDIRECT("'"&amp;$B$3&amp;"'!A35"))</f>
        <v/>
      </c>
      <c r="B42" s="22">
        <f>IF(INDIRECT("'"&amp;$B$3&amp;"'!B35")="","",INDIRECT("'"&amp;$B$3&amp;"'!B35"))</f>
        <v/>
      </c>
      <c r="C42" s="22">
        <f>IF(INDIRECT("'"&amp;$B$3&amp;"'!C35")="","",INDIRECT("'"&amp;$B$3&amp;"'!C35"))</f>
        <v/>
      </c>
      <c r="D42" s="23">
        <f>IF(INDIRECT("'"&amp;$B$3&amp;"'!E35")="","",INDIRECT("'"&amp;$B$3&amp;"'!E35"))</f>
        <v/>
      </c>
      <c r="E42" s="23">
        <f>IF(INDIRECT("'"&amp;$B$3&amp;"'!F35")="","",INDIRECT("'"&amp;$B$3&amp;"'!F35"))</f>
        <v/>
      </c>
      <c r="F42" s="23">
        <f>IF(INDIRECT("'"&amp;$B$3&amp;"'!G35")="","",INDIRECT("'"&amp;$B$3&amp;"'!G35"))</f>
        <v/>
      </c>
      <c r="G42" s="23">
        <f>IF(INDIRECT("'"&amp;$B$3&amp;"'!I35")="","",INDIRECT("'"&amp;$B$3&amp;"'!I35"))</f>
        <v/>
      </c>
    </row>
    <row r="43" ht="15" customHeight="1" s="62">
      <c r="A43" s="21">
        <f>IF(INDIRECT("'"&amp;$B$3&amp;"'!A36")="","",INDIRECT("'"&amp;$B$3&amp;"'!A36"))</f>
        <v/>
      </c>
      <c r="B43" s="22">
        <f>IF(INDIRECT("'"&amp;$B$3&amp;"'!B36")="","",INDIRECT("'"&amp;$B$3&amp;"'!B36"))</f>
        <v/>
      </c>
      <c r="C43" s="22">
        <f>IF(INDIRECT("'"&amp;$B$3&amp;"'!C36")="","",INDIRECT("'"&amp;$B$3&amp;"'!C36"))</f>
        <v/>
      </c>
      <c r="D43" s="23">
        <f>IF(INDIRECT("'"&amp;$B$3&amp;"'!E36")="","",INDIRECT("'"&amp;$B$3&amp;"'!E36"))</f>
        <v/>
      </c>
      <c r="E43" s="23">
        <f>IF(INDIRECT("'"&amp;$B$3&amp;"'!F36")="","",INDIRECT("'"&amp;$B$3&amp;"'!F36"))</f>
        <v/>
      </c>
      <c r="F43" s="23">
        <f>IF(INDIRECT("'"&amp;$B$3&amp;"'!G36")="","",INDIRECT("'"&amp;$B$3&amp;"'!G36"))</f>
        <v/>
      </c>
      <c r="G43" s="23">
        <f>IF(INDIRECT("'"&amp;$B$3&amp;"'!I36")="","",INDIRECT("'"&amp;$B$3&amp;"'!I36"))</f>
        <v/>
      </c>
    </row>
    <row r="44" ht="15" customHeight="1" s="62">
      <c r="A44" s="21">
        <f>IF(INDIRECT("'"&amp;$B$3&amp;"'!A37")="","",INDIRECT("'"&amp;$B$3&amp;"'!A37"))</f>
        <v/>
      </c>
      <c r="B44" s="22">
        <f>IF(INDIRECT("'"&amp;$B$3&amp;"'!B37")="","",INDIRECT("'"&amp;$B$3&amp;"'!B37"))</f>
        <v/>
      </c>
      <c r="C44" s="22">
        <f>IF(INDIRECT("'"&amp;$B$3&amp;"'!C37")="","",INDIRECT("'"&amp;$B$3&amp;"'!C37"))</f>
        <v/>
      </c>
      <c r="D44" s="23">
        <f>IF(INDIRECT("'"&amp;$B$3&amp;"'!E37")="","",INDIRECT("'"&amp;$B$3&amp;"'!E37"))</f>
        <v/>
      </c>
      <c r="E44" s="23">
        <f>IF(INDIRECT("'"&amp;$B$3&amp;"'!F37")="","",INDIRECT("'"&amp;$B$3&amp;"'!F37"))</f>
        <v/>
      </c>
      <c r="F44" s="23">
        <f>IF(INDIRECT("'"&amp;$B$3&amp;"'!G37")="","",INDIRECT("'"&amp;$B$3&amp;"'!G37"))</f>
        <v/>
      </c>
      <c r="G44" s="23">
        <f>IF(INDIRECT("'"&amp;$B$3&amp;"'!I37")="","",INDIRECT("'"&amp;$B$3&amp;"'!I37"))</f>
        <v/>
      </c>
    </row>
    <row r="45" ht="15" customHeight="1" s="62">
      <c r="A45" s="21">
        <f>IF(INDIRECT("'"&amp;$B$3&amp;"'!A38")="","",INDIRECT("'"&amp;$B$3&amp;"'!A38"))</f>
        <v/>
      </c>
      <c r="B45" s="22">
        <f>IF(INDIRECT("'"&amp;$B$3&amp;"'!B38")="","",INDIRECT("'"&amp;$B$3&amp;"'!B38"))</f>
        <v/>
      </c>
      <c r="C45" s="22">
        <f>IF(INDIRECT("'"&amp;$B$3&amp;"'!C38")="","",INDIRECT("'"&amp;$B$3&amp;"'!C38"))</f>
        <v/>
      </c>
      <c r="D45" s="23">
        <f>IF(INDIRECT("'"&amp;$B$3&amp;"'!E38")="","",INDIRECT("'"&amp;$B$3&amp;"'!E38"))</f>
        <v/>
      </c>
      <c r="E45" s="23">
        <f>IF(INDIRECT("'"&amp;$B$3&amp;"'!F38")="","",INDIRECT("'"&amp;$B$3&amp;"'!F38"))</f>
        <v/>
      </c>
      <c r="F45" s="23">
        <f>IF(INDIRECT("'"&amp;$B$3&amp;"'!G38")="","",INDIRECT("'"&amp;$B$3&amp;"'!G38"))</f>
        <v/>
      </c>
      <c r="G45" s="23">
        <f>IF(INDIRECT("'"&amp;$B$3&amp;"'!I38")="","",INDIRECT("'"&amp;$B$3&amp;"'!I38"))</f>
        <v/>
      </c>
    </row>
    <row r="46" ht="15" customHeight="1" s="62">
      <c r="A46" s="21">
        <f>IF(INDIRECT("'"&amp;$B$3&amp;"'!A39")="","",INDIRECT("'"&amp;$B$3&amp;"'!A39"))</f>
        <v/>
      </c>
      <c r="B46" s="22">
        <f>IF(INDIRECT("'"&amp;$B$3&amp;"'!B39")="","",INDIRECT("'"&amp;$B$3&amp;"'!B39"))</f>
        <v/>
      </c>
      <c r="C46" s="22">
        <f>IF(INDIRECT("'"&amp;$B$3&amp;"'!C39")="","",INDIRECT("'"&amp;$B$3&amp;"'!C39"))</f>
        <v/>
      </c>
      <c r="D46" s="23">
        <f>IF(INDIRECT("'"&amp;$B$3&amp;"'!E39")="","",INDIRECT("'"&amp;$B$3&amp;"'!E39"))</f>
        <v/>
      </c>
      <c r="E46" s="23">
        <f>IF(INDIRECT("'"&amp;$B$3&amp;"'!F39")="","",INDIRECT("'"&amp;$B$3&amp;"'!F39"))</f>
        <v/>
      </c>
      <c r="F46" s="23">
        <f>IF(INDIRECT("'"&amp;$B$3&amp;"'!G39")="","",INDIRECT("'"&amp;$B$3&amp;"'!G39"))</f>
        <v/>
      </c>
      <c r="G46" s="23">
        <f>IF(INDIRECT("'"&amp;$B$3&amp;"'!I39")="","",INDIRECT("'"&amp;$B$3&amp;"'!I39"))</f>
        <v/>
      </c>
    </row>
    <row r="47" ht="15" customHeight="1" s="62">
      <c r="A47" s="21">
        <f>IF(INDIRECT("'"&amp;$B$3&amp;"'!A40")="","",INDIRECT("'"&amp;$B$3&amp;"'!A40"))</f>
        <v/>
      </c>
      <c r="B47" s="22">
        <f>IF(INDIRECT("'"&amp;$B$3&amp;"'!B40")="","",INDIRECT("'"&amp;$B$3&amp;"'!B40"))</f>
        <v/>
      </c>
      <c r="C47" s="22">
        <f>IF(INDIRECT("'"&amp;$B$3&amp;"'!C40")="","",INDIRECT("'"&amp;$B$3&amp;"'!C40"))</f>
        <v/>
      </c>
      <c r="D47" s="23">
        <f>IF(INDIRECT("'"&amp;$B$3&amp;"'!E40")="","",INDIRECT("'"&amp;$B$3&amp;"'!E40"))</f>
        <v/>
      </c>
      <c r="E47" s="23">
        <f>IF(INDIRECT("'"&amp;$B$3&amp;"'!F40")="","",INDIRECT("'"&amp;$B$3&amp;"'!F40"))</f>
        <v/>
      </c>
      <c r="F47" s="23">
        <f>IF(INDIRECT("'"&amp;$B$3&amp;"'!G40")="","",INDIRECT("'"&amp;$B$3&amp;"'!G40"))</f>
        <v/>
      </c>
      <c r="G47" s="23">
        <f>IF(INDIRECT("'"&amp;$B$3&amp;"'!I40")="","",INDIRECT("'"&amp;$B$3&amp;"'!I40"))</f>
        <v/>
      </c>
    </row>
    <row r="48" ht="15" customHeight="1" s="62">
      <c r="A48" s="21">
        <f>IF(INDIRECT("'"&amp;$B$3&amp;"'!A41")="","",INDIRECT("'"&amp;$B$3&amp;"'!A41"))</f>
        <v/>
      </c>
      <c r="B48" s="22">
        <f>IF(INDIRECT("'"&amp;$B$3&amp;"'!B41")="","",INDIRECT("'"&amp;$B$3&amp;"'!B41"))</f>
        <v/>
      </c>
      <c r="C48" s="22">
        <f>IF(INDIRECT("'"&amp;$B$3&amp;"'!C41")="","",INDIRECT("'"&amp;$B$3&amp;"'!C41"))</f>
        <v/>
      </c>
      <c r="D48" s="23">
        <f>IF(INDIRECT("'"&amp;$B$3&amp;"'!E41")="","",INDIRECT("'"&amp;$B$3&amp;"'!E41"))</f>
        <v/>
      </c>
      <c r="E48" s="23">
        <f>IF(INDIRECT("'"&amp;$B$3&amp;"'!F41")="","",INDIRECT("'"&amp;$B$3&amp;"'!F41"))</f>
        <v/>
      </c>
      <c r="F48" s="23">
        <f>IF(INDIRECT("'"&amp;$B$3&amp;"'!G41")="","",INDIRECT("'"&amp;$B$3&amp;"'!G41"))</f>
        <v/>
      </c>
      <c r="G48" s="23">
        <f>IF(INDIRECT("'"&amp;$B$3&amp;"'!I41")="","",INDIRECT("'"&amp;$B$3&amp;"'!I41"))</f>
        <v/>
      </c>
    </row>
    <row r="49" ht="15" customHeight="1" s="62">
      <c r="A49" s="21">
        <f>IF(INDIRECT("'"&amp;$B$3&amp;"'!A42")="","",INDIRECT("'"&amp;$B$3&amp;"'!A42"))</f>
        <v/>
      </c>
      <c r="B49" s="22">
        <f>IF(INDIRECT("'"&amp;$B$3&amp;"'!B42")="","",INDIRECT("'"&amp;$B$3&amp;"'!B42"))</f>
        <v/>
      </c>
      <c r="C49" s="22">
        <f>IF(INDIRECT("'"&amp;$B$3&amp;"'!C42")="","",INDIRECT("'"&amp;$B$3&amp;"'!C42"))</f>
        <v/>
      </c>
      <c r="D49" s="23">
        <f>IF(INDIRECT("'"&amp;$B$3&amp;"'!E42")="","",INDIRECT("'"&amp;$B$3&amp;"'!E42"))</f>
        <v/>
      </c>
      <c r="E49" s="23">
        <f>IF(INDIRECT("'"&amp;$B$3&amp;"'!F42")="","",INDIRECT("'"&amp;$B$3&amp;"'!F42"))</f>
        <v/>
      </c>
      <c r="F49" s="23">
        <f>IF(INDIRECT("'"&amp;$B$3&amp;"'!G42")="","",INDIRECT("'"&amp;$B$3&amp;"'!G42"))</f>
        <v/>
      </c>
      <c r="G49" s="23">
        <f>IF(INDIRECT("'"&amp;$B$3&amp;"'!I42")="","",INDIRECT("'"&amp;$B$3&amp;"'!I42"))</f>
        <v/>
      </c>
    </row>
    <row r="50" ht="15" customHeight="1" s="62">
      <c r="A50" s="21">
        <f>IF(INDIRECT("'"&amp;$B$3&amp;"'!A43")="","",INDIRECT("'"&amp;$B$3&amp;"'!A43"))</f>
        <v/>
      </c>
      <c r="B50" s="22">
        <f>IF(INDIRECT("'"&amp;$B$3&amp;"'!B43")="","",INDIRECT("'"&amp;$B$3&amp;"'!B43"))</f>
        <v/>
      </c>
      <c r="C50" s="22">
        <f>IF(INDIRECT("'"&amp;$B$3&amp;"'!C43")="","",INDIRECT("'"&amp;$B$3&amp;"'!C43"))</f>
        <v/>
      </c>
      <c r="D50" s="23">
        <f>IF(INDIRECT("'"&amp;$B$3&amp;"'!E43")="","",INDIRECT("'"&amp;$B$3&amp;"'!E43"))</f>
        <v/>
      </c>
      <c r="E50" s="23">
        <f>IF(INDIRECT("'"&amp;$B$3&amp;"'!F43")="","",INDIRECT("'"&amp;$B$3&amp;"'!F43"))</f>
        <v/>
      </c>
      <c r="F50" s="23">
        <f>IF(INDIRECT("'"&amp;$B$3&amp;"'!G43")="","",INDIRECT("'"&amp;$B$3&amp;"'!G43"))</f>
        <v/>
      </c>
      <c r="G50" s="23">
        <f>IF(INDIRECT("'"&amp;$B$3&amp;"'!I43")="","",INDIRECT("'"&amp;$B$3&amp;"'!I43"))</f>
        <v/>
      </c>
    </row>
    <row r="51" ht="15" customHeight="1" s="62">
      <c r="A51" s="21">
        <f>IF(INDIRECT("'"&amp;$B$3&amp;"'!A44")="","",INDIRECT("'"&amp;$B$3&amp;"'!A44"))</f>
        <v/>
      </c>
      <c r="B51" s="22">
        <f>IF(INDIRECT("'"&amp;$B$3&amp;"'!B44")="","",INDIRECT("'"&amp;$B$3&amp;"'!B44"))</f>
        <v/>
      </c>
      <c r="C51" s="22">
        <f>IF(INDIRECT("'"&amp;$B$3&amp;"'!C44")="","",INDIRECT("'"&amp;$B$3&amp;"'!C44"))</f>
        <v/>
      </c>
      <c r="D51" s="23">
        <f>IF(INDIRECT("'"&amp;$B$3&amp;"'!E44")="","",INDIRECT("'"&amp;$B$3&amp;"'!E44"))</f>
        <v/>
      </c>
      <c r="E51" s="23">
        <f>IF(INDIRECT("'"&amp;$B$3&amp;"'!F44")="","",INDIRECT("'"&amp;$B$3&amp;"'!F44"))</f>
        <v/>
      </c>
      <c r="F51" s="23">
        <f>IF(INDIRECT("'"&amp;$B$3&amp;"'!G44")="","",INDIRECT("'"&amp;$B$3&amp;"'!G44"))</f>
        <v/>
      </c>
      <c r="G51" s="23">
        <f>IF(INDIRECT("'"&amp;$B$3&amp;"'!I44")="","",INDIRECT("'"&amp;$B$3&amp;"'!I44"))</f>
        <v/>
      </c>
    </row>
    <row r="52" ht="15" customHeight="1" s="62">
      <c r="A52" s="21">
        <f>IF(INDIRECT("'"&amp;$B$3&amp;"'!A45")="","",INDIRECT("'"&amp;$B$3&amp;"'!A45"))</f>
        <v/>
      </c>
      <c r="B52" s="22">
        <f>IF(INDIRECT("'"&amp;$B$3&amp;"'!B45")="","",INDIRECT("'"&amp;$B$3&amp;"'!B45"))</f>
        <v/>
      </c>
      <c r="C52" s="22">
        <f>IF(INDIRECT("'"&amp;$B$3&amp;"'!C45")="","",INDIRECT("'"&amp;$B$3&amp;"'!C45"))</f>
        <v/>
      </c>
      <c r="D52" s="23">
        <f>IF(INDIRECT("'"&amp;$B$3&amp;"'!E45")="","",INDIRECT("'"&amp;$B$3&amp;"'!E45"))</f>
        <v/>
      </c>
      <c r="E52" s="23">
        <f>IF(INDIRECT("'"&amp;$B$3&amp;"'!F45")="","",INDIRECT("'"&amp;$B$3&amp;"'!F45"))</f>
        <v/>
      </c>
      <c r="F52" s="23">
        <f>IF(INDIRECT("'"&amp;$B$3&amp;"'!G45")="","",INDIRECT("'"&amp;$B$3&amp;"'!G45"))</f>
        <v/>
      </c>
      <c r="G52" s="23">
        <f>IF(INDIRECT("'"&amp;$B$3&amp;"'!I45")="","",INDIRECT("'"&amp;$B$3&amp;"'!I45"))</f>
        <v/>
      </c>
    </row>
    <row r="53" ht="15" customHeight="1" s="62">
      <c r="A53" s="21">
        <f>IF(INDIRECT("'"&amp;$B$3&amp;"'!A46")="","",INDIRECT("'"&amp;$B$3&amp;"'!A46"))</f>
        <v/>
      </c>
      <c r="B53" s="22">
        <f>IF(INDIRECT("'"&amp;$B$3&amp;"'!B46")="","",INDIRECT("'"&amp;$B$3&amp;"'!B46"))</f>
        <v/>
      </c>
      <c r="C53" s="22">
        <f>IF(INDIRECT("'"&amp;$B$3&amp;"'!C46")="","",INDIRECT("'"&amp;$B$3&amp;"'!C46"))</f>
        <v/>
      </c>
      <c r="D53" s="23">
        <f>IF(INDIRECT("'"&amp;$B$3&amp;"'!E46")="","",INDIRECT("'"&amp;$B$3&amp;"'!E46"))</f>
        <v/>
      </c>
      <c r="E53" s="23">
        <f>IF(INDIRECT("'"&amp;$B$3&amp;"'!F46")="","",INDIRECT("'"&amp;$B$3&amp;"'!F46"))</f>
        <v/>
      </c>
      <c r="F53" s="23">
        <f>IF(INDIRECT("'"&amp;$B$3&amp;"'!G46")="","",INDIRECT("'"&amp;$B$3&amp;"'!G46"))</f>
        <v/>
      </c>
      <c r="G53" s="23">
        <f>IF(INDIRECT("'"&amp;$B$3&amp;"'!I46")="","",INDIRECT("'"&amp;$B$3&amp;"'!I46"))</f>
        <v/>
      </c>
    </row>
    <row r="54" ht="15" customHeight="1" s="62">
      <c r="A54" s="21">
        <f>IF(INDIRECT("'"&amp;$B$3&amp;"'!A47")="","",INDIRECT("'"&amp;$B$3&amp;"'!A47"))</f>
        <v/>
      </c>
      <c r="B54" s="22">
        <f>IF(INDIRECT("'"&amp;$B$3&amp;"'!B47")="","",INDIRECT("'"&amp;$B$3&amp;"'!B47"))</f>
        <v/>
      </c>
      <c r="C54" s="22">
        <f>IF(INDIRECT("'"&amp;$B$3&amp;"'!C47")="","",INDIRECT("'"&amp;$B$3&amp;"'!C47"))</f>
        <v/>
      </c>
      <c r="D54" s="23">
        <f>IF(INDIRECT("'"&amp;$B$3&amp;"'!E47")="","",INDIRECT("'"&amp;$B$3&amp;"'!E47"))</f>
        <v/>
      </c>
      <c r="E54" s="23">
        <f>IF(INDIRECT("'"&amp;$B$3&amp;"'!F47")="","",INDIRECT("'"&amp;$B$3&amp;"'!F47"))</f>
        <v/>
      </c>
      <c r="F54" s="23">
        <f>IF(INDIRECT("'"&amp;$B$3&amp;"'!G47")="","",INDIRECT("'"&amp;$B$3&amp;"'!G47"))</f>
        <v/>
      </c>
      <c r="G54" s="23">
        <f>IF(INDIRECT("'"&amp;$B$3&amp;"'!I47")="","",INDIRECT("'"&amp;$B$3&amp;"'!I47"))</f>
        <v/>
      </c>
    </row>
    <row r="55" ht="15" customHeight="1" s="62">
      <c r="A55" s="21">
        <f>IF(INDIRECT("'"&amp;$B$3&amp;"'!A48")="","",INDIRECT("'"&amp;$B$3&amp;"'!A48"))</f>
        <v/>
      </c>
      <c r="B55" s="22">
        <f>IF(INDIRECT("'"&amp;$B$3&amp;"'!B48")="","",INDIRECT("'"&amp;$B$3&amp;"'!B48"))</f>
        <v/>
      </c>
      <c r="C55" s="22">
        <f>IF(INDIRECT("'"&amp;$B$3&amp;"'!C48")="","",INDIRECT("'"&amp;$B$3&amp;"'!C48"))</f>
        <v/>
      </c>
      <c r="D55" s="23">
        <f>IF(INDIRECT("'"&amp;$B$3&amp;"'!E48")="","",INDIRECT("'"&amp;$B$3&amp;"'!E48"))</f>
        <v/>
      </c>
      <c r="E55" s="23">
        <f>IF(INDIRECT("'"&amp;$B$3&amp;"'!F48")="","",INDIRECT("'"&amp;$B$3&amp;"'!F48"))</f>
        <v/>
      </c>
      <c r="F55" s="23">
        <f>IF(INDIRECT("'"&amp;$B$3&amp;"'!G48")="","",INDIRECT("'"&amp;$B$3&amp;"'!G48"))</f>
        <v/>
      </c>
      <c r="G55" s="23">
        <f>IF(INDIRECT("'"&amp;$B$3&amp;"'!I48")="","",INDIRECT("'"&amp;$B$3&amp;"'!I48"))</f>
        <v/>
      </c>
    </row>
    <row r="56" ht="15" customHeight="1" s="62">
      <c r="A56" s="21">
        <f>IF(INDIRECT("'"&amp;$B$3&amp;"'!A49")="","",INDIRECT("'"&amp;$B$3&amp;"'!A49"))</f>
        <v/>
      </c>
      <c r="B56" s="22">
        <f>IF(INDIRECT("'"&amp;$B$3&amp;"'!B49")="","",INDIRECT("'"&amp;$B$3&amp;"'!B49"))</f>
        <v/>
      </c>
      <c r="C56" s="22">
        <f>IF(INDIRECT("'"&amp;$B$3&amp;"'!C49")="","",INDIRECT("'"&amp;$B$3&amp;"'!C49"))</f>
        <v/>
      </c>
      <c r="D56" s="23">
        <f>IF(INDIRECT("'"&amp;$B$3&amp;"'!E49")="","",INDIRECT("'"&amp;$B$3&amp;"'!E49"))</f>
        <v/>
      </c>
      <c r="E56" s="23">
        <f>IF(INDIRECT("'"&amp;$B$3&amp;"'!F49")="","",INDIRECT("'"&amp;$B$3&amp;"'!F49"))</f>
        <v/>
      </c>
      <c r="F56" s="23">
        <f>IF(INDIRECT("'"&amp;$B$3&amp;"'!G49")="","",INDIRECT("'"&amp;$B$3&amp;"'!G49"))</f>
        <v/>
      </c>
      <c r="G56" s="23">
        <f>IF(INDIRECT("'"&amp;$B$3&amp;"'!I49")="","",INDIRECT("'"&amp;$B$3&amp;"'!I49"))</f>
        <v/>
      </c>
    </row>
    <row r="57" ht="15" customHeight="1" s="62">
      <c r="A57" s="21">
        <f>IF(INDIRECT("'"&amp;$B$3&amp;"'!A50")="","",INDIRECT("'"&amp;$B$3&amp;"'!A50"))</f>
        <v/>
      </c>
      <c r="B57" s="22">
        <f>IF(INDIRECT("'"&amp;$B$3&amp;"'!B50")="","",INDIRECT("'"&amp;$B$3&amp;"'!B50"))</f>
        <v/>
      </c>
      <c r="C57" s="22">
        <f>IF(INDIRECT("'"&amp;$B$3&amp;"'!C50")="","",INDIRECT("'"&amp;$B$3&amp;"'!C50"))</f>
        <v/>
      </c>
      <c r="D57" s="23">
        <f>IF(INDIRECT("'"&amp;$B$3&amp;"'!E50")="","",INDIRECT("'"&amp;$B$3&amp;"'!E50"))</f>
        <v/>
      </c>
      <c r="E57" s="23">
        <f>IF(INDIRECT("'"&amp;$B$3&amp;"'!F50")="","",INDIRECT("'"&amp;$B$3&amp;"'!F50"))</f>
        <v/>
      </c>
      <c r="F57" s="23">
        <f>IF(INDIRECT("'"&amp;$B$3&amp;"'!G50")="","",INDIRECT("'"&amp;$B$3&amp;"'!G50"))</f>
        <v/>
      </c>
      <c r="G57" s="23">
        <f>IF(INDIRECT("'"&amp;$B$3&amp;"'!I50")="","",INDIRECT("'"&amp;$B$3&amp;"'!I50"))</f>
        <v/>
      </c>
    </row>
    <row r="58" ht="15" customHeight="1" s="62">
      <c r="A58" s="21">
        <f>IF(INDIRECT("'"&amp;$B$3&amp;"'!A51")="","",INDIRECT("'"&amp;$B$3&amp;"'!A51"))</f>
        <v/>
      </c>
      <c r="B58" s="22">
        <f>IF(INDIRECT("'"&amp;$B$3&amp;"'!B51")="","",INDIRECT("'"&amp;$B$3&amp;"'!B51"))</f>
        <v/>
      </c>
      <c r="C58" s="22">
        <f>IF(INDIRECT("'"&amp;$B$3&amp;"'!C51")="","",INDIRECT("'"&amp;$B$3&amp;"'!C51"))</f>
        <v/>
      </c>
      <c r="D58" s="23">
        <f>IF(INDIRECT("'"&amp;$B$3&amp;"'!E51")="","",INDIRECT("'"&amp;$B$3&amp;"'!E51"))</f>
        <v/>
      </c>
      <c r="E58" s="23">
        <f>IF(INDIRECT("'"&amp;$B$3&amp;"'!F51")="","",INDIRECT("'"&amp;$B$3&amp;"'!F51"))</f>
        <v/>
      </c>
      <c r="F58" s="23">
        <f>IF(INDIRECT("'"&amp;$B$3&amp;"'!G51")="","",INDIRECT("'"&amp;$B$3&amp;"'!G51"))</f>
        <v/>
      </c>
      <c r="G58" s="23">
        <f>IF(INDIRECT("'"&amp;$B$3&amp;"'!I51")="","",INDIRECT("'"&amp;$B$3&amp;"'!I51"))</f>
        <v/>
      </c>
    </row>
    <row r="59" ht="15" customHeight="1" s="62">
      <c r="A59" s="21">
        <f>IF(INDIRECT("'"&amp;$B$3&amp;"'!A52")="","",INDIRECT("'"&amp;$B$3&amp;"'!A52"))</f>
        <v/>
      </c>
      <c r="B59" s="22">
        <f>IF(INDIRECT("'"&amp;$B$3&amp;"'!B52")="","",INDIRECT("'"&amp;$B$3&amp;"'!B52"))</f>
        <v/>
      </c>
      <c r="C59" s="22">
        <f>IF(INDIRECT("'"&amp;$B$3&amp;"'!C52")="","",INDIRECT("'"&amp;$B$3&amp;"'!C52"))</f>
        <v/>
      </c>
      <c r="D59" s="23">
        <f>IF(INDIRECT("'"&amp;$B$3&amp;"'!E52")="","",INDIRECT("'"&amp;$B$3&amp;"'!E52"))</f>
        <v/>
      </c>
      <c r="E59" s="23">
        <f>IF(INDIRECT("'"&amp;$B$3&amp;"'!F52")="","",INDIRECT("'"&amp;$B$3&amp;"'!F52"))</f>
        <v/>
      </c>
      <c r="F59" s="23">
        <f>IF(INDIRECT("'"&amp;$B$3&amp;"'!G52")="","",INDIRECT("'"&amp;$B$3&amp;"'!G52"))</f>
        <v/>
      </c>
      <c r="G59" s="23">
        <f>IF(INDIRECT("'"&amp;$B$3&amp;"'!I52")="","",INDIRECT("'"&amp;$B$3&amp;"'!I52"))</f>
        <v/>
      </c>
    </row>
    <row r="60" ht="15" customHeight="1" s="62">
      <c r="A60" s="21">
        <f>IF(INDIRECT("'"&amp;$B$3&amp;"'!A53")="","",INDIRECT("'"&amp;$B$3&amp;"'!A53"))</f>
        <v/>
      </c>
      <c r="B60" s="22">
        <f>IF(INDIRECT("'"&amp;$B$3&amp;"'!B53")="","",INDIRECT("'"&amp;$B$3&amp;"'!B53"))</f>
        <v/>
      </c>
      <c r="C60" s="22">
        <f>IF(INDIRECT("'"&amp;$B$3&amp;"'!C53")="","",INDIRECT("'"&amp;$B$3&amp;"'!C53"))</f>
        <v/>
      </c>
      <c r="D60" s="23">
        <f>IF(INDIRECT("'"&amp;$B$3&amp;"'!E53")="","",INDIRECT("'"&amp;$B$3&amp;"'!E53"))</f>
        <v/>
      </c>
      <c r="E60" s="23">
        <f>IF(INDIRECT("'"&amp;$B$3&amp;"'!F53")="","",INDIRECT("'"&amp;$B$3&amp;"'!F53"))</f>
        <v/>
      </c>
      <c r="F60" s="23">
        <f>IF(INDIRECT("'"&amp;$B$3&amp;"'!G53")="","",INDIRECT("'"&amp;$B$3&amp;"'!G53"))</f>
        <v/>
      </c>
      <c r="G60" s="23">
        <f>IF(INDIRECT("'"&amp;$B$3&amp;"'!I53")="","",INDIRECT("'"&amp;$B$3&amp;"'!I53"))</f>
        <v/>
      </c>
    </row>
    <row r="61" ht="15" customHeight="1" s="62">
      <c r="A61" s="21">
        <f>IF(INDIRECT("'"&amp;$B$3&amp;"'!A54")="","",INDIRECT("'"&amp;$B$3&amp;"'!A54"))</f>
        <v/>
      </c>
      <c r="B61" s="22">
        <f>IF(INDIRECT("'"&amp;$B$3&amp;"'!B54")="","",INDIRECT("'"&amp;$B$3&amp;"'!B54"))</f>
        <v/>
      </c>
      <c r="C61" s="22">
        <f>IF(INDIRECT("'"&amp;$B$3&amp;"'!C54")="","",INDIRECT("'"&amp;$B$3&amp;"'!C54"))</f>
        <v/>
      </c>
      <c r="D61" s="23">
        <f>IF(INDIRECT("'"&amp;$B$3&amp;"'!E54")="","",INDIRECT("'"&amp;$B$3&amp;"'!E54"))</f>
        <v/>
      </c>
      <c r="E61" s="23">
        <f>IF(INDIRECT("'"&amp;$B$3&amp;"'!F54")="","",INDIRECT("'"&amp;$B$3&amp;"'!F54"))</f>
        <v/>
      </c>
      <c r="F61" s="23">
        <f>IF(INDIRECT("'"&amp;$B$3&amp;"'!G54")="","",INDIRECT("'"&amp;$B$3&amp;"'!G54"))</f>
        <v/>
      </c>
      <c r="G61" s="23">
        <f>IF(INDIRECT("'"&amp;$B$3&amp;"'!I54")="","",INDIRECT("'"&amp;$B$3&amp;"'!I54"))</f>
        <v/>
      </c>
    </row>
    <row r="62" ht="15" customHeight="1" s="62">
      <c r="A62" s="21">
        <f>IF(INDIRECT("'"&amp;$B$3&amp;"'!A55")="","",INDIRECT("'"&amp;$B$3&amp;"'!A55"))</f>
        <v/>
      </c>
      <c r="B62" s="22">
        <f>IF(INDIRECT("'"&amp;$B$3&amp;"'!B55")="","",INDIRECT("'"&amp;$B$3&amp;"'!B55"))</f>
        <v/>
      </c>
      <c r="C62" s="22">
        <f>IF(INDIRECT("'"&amp;$B$3&amp;"'!C55")="","",INDIRECT("'"&amp;$B$3&amp;"'!C55"))</f>
        <v/>
      </c>
      <c r="D62" s="23">
        <f>IF(INDIRECT("'"&amp;$B$3&amp;"'!E55")="","",INDIRECT("'"&amp;$B$3&amp;"'!E55"))</f>
        <v/>
      </c>
      <c r="E62" s="23">
        <f>IF(INDIRECT("'"&amp;$B$3&amp;"'!F55")="","",INDIRECT("'"&amp;$B$3&amp;"'!F55"))</f>
        <v/>
      </c>
      <c r="F62" s="23">
        <f>IF(INDIRECT("'"&amp;$B$3&amp;"'!G55")="","",INDIRECT("'"&amp;$B$3&amp;"'!G55"))</f>
        <v/>
      </c>
      <c r="G62" s="23">
        <f>IF(INDIRECT("'"&amp;$B$3&amp;"'!I55")="","",INDIRECT("'"&amp;$B$3&amp;"'!I55"))</f>
        <v/>
      </c>
    </row>
    <row r="63" ht="15" customHeight="1" s="62">
      <c r="A63" s="21">
        <f>IF(INDIRECT("'"&amp;$B$3&amp;"'!A56")="","",INDIRECT("'"&amp;$B$3&amp;"'!A56"))</f>
        <v/>
      </c>
      <c r="B63" s="22">
        <f>IF(INDIRECT("'"&amp;$B$3&amp;"'!B56")="","",INDIRECT("'"&amp;$B$3&amp;"'!B56"))</f>
        <v/>
      </c>
      <c r="C63" s="22">
        <f>IF(INDIRECT("'"&amp;$B$3&amp;"'!C56")="","",INDIRECT("'"&amp;$B$3&amp;"'!C56"))</f>
        <v/>
      </c>
      <c r="D63" s="23">
        <f>IF(INDIRECT("'"&amp;$B$3&amp;"'!E56")="","",INDIRECT("'"&amp;$B$3&amp;"'!E56"))</f>
        <v/>
      </c>
      <c r="E63" s="23">
        <f>IF(INDIRECT("'"&amp;$B$3&amp;"'!F56")="","",INDIRECT("'"&amp;$B$3&amp;"'!F56"))</f>
        <v/>
      </c>
      <c r="F63" s="23">
        <f>IF(INDIRECT("'"&amp;$B$3&amp;"'!G56")="","",INDIRECT("'"&amp;$B$3&amp;"'!G56"))</f>
        <v/>
      </c>
      <c r="G63" s="23">
        <f>IF(INDIRECT("'"&amp;$B$3&amp;"'!I56")="","",INDIRECT("'"&amp;$B$3&amp;"'!I56"))</f>
        <v/>
      </c>
    </row>
    <row r="64" ht="15" customHeight="1" s="62">
      <c r="A64" s="21">
        <f>IF(INDIRECT("'"&amp;$B$3&amp;"'!A57")="","",INDIRECT("'"&amp;$B$3&amp;"'!A57"))</f>
        <v/>
      </c>
      <c r="B64" s="22">
        <f>IF(INDIRECT("'"&amp;$B$3&amp;"'!B57")="","",INDIRECT("'"&amp;$B$3&amp;"'!B57"))</f>
        <v/>
      </c>
      <c r="C64" s="22">
        <f>IF(INDIRECT("'"&amp;$B$3&amp;"'!C57")="","",INDIRECT("'"&amp;$B$3&amp;"'!C57"))</f>
        <v/>
      </c>
      <c r="D64" s="23">
        <f>IF(INDIRECT("'"&amp;$B$3&amp;"'!E57")="","",INDIRECT("'"&amp;$B$3&amp;"'!E57"))</f>
        <v/>
      </c>
      <c r="E64" s="23">
        <f>IF(INDIRECT("'"&amp;$B$3&amp;"'!F57")="","",INDIRECT("'"&amp;$B$3&amp;"'!F57"))</f>
        <v/>
      </c>
      <c r="F64" s="23">
        <f>IF(INDIRECT("'"&amp;$B$3&amp;"'!G57")="","",INDIRECT("'"&amp;$B$3&amp;"'!G57"))</f>
        <v/>
      </c>
      <c r="G64" s="23">
        <f>IF(INDIRECT("'"&amp;$B$3&amp;"'!I57")="","",INDIRECT("'"&amp;$B$3&amp;"'!I57"))</f>
        <v/>
      </c>
    </row>
    <row r="65" ht="15" customHeight="1" s="62">
      <c r="A65" s="21">
        <f>IF(INDIRECT("'"&amp;$B$3&amp;"'!A58")="","",INDIRECT("'"&amp;$B$3&amp;"'!A58"))</f>
        <v/>
      </c>
      <c r="B65" s="22">
        <f>IF(INDIRECT("'"&amp;$B$3&amp;"'!B58")="","",INDIRECT("'"&amp;$B$3&amp;"'!B58"))</f>
        <v/>
      </c>
      <c r="C65" s="22">
        <f>IF(INDIRECT("'"&amp;$B$3&amp;"'!C58")="","",INDIRECT("'"&amp;$B$3&amp;"'!C58"))</f>
        <v/>
      </c>
      <c r="D65" s="23">
        <f>IF(INDIRECT("'"&amp;$B$3&amp;"'!E58")="","",INDIRECT("'"&amp;$B$3&amp;"'!E58"))</f>
        <v/>
      </c>
      <c r="E65" s="23">
        <f>IF(INDIRECT("'"&amp;$B$3&amp;"'!F58")="","",INDIRECT("'"&amp;$B$3&amp;"'!F58"))</f>
        <v/>
      </c>
      <c r="F65" s="23">
        <f>IF(INDIRECT("'"&amp;$B$3&amp;"'!G58")="","",INDIRECT("'"&amp;$B$3&amp;"'!G58"))</f>
        <v/>
      </c>
      <c r="G65" s="23">
        <f>IF(INDIRECT("'"&amp;$B$3&amp;"'!I58")="","",INDIRECT("'"&amp;$B$3&amp;"'!I58"))</f>
        <v/>
      </c>
    </row>
    <row r="66" ht="15" customHeight="1" s="62">
      <c r="A66" s="21">
        <f>IF(INDIRECT("'"&amp;$B$3&amp;"'!A59")="","",INDIRECT("'"&amp;$B$3&amp;"'!A59"))</f>
        <v/>
      </c>
      <c r="B66" s="22">
        <f>IF(INDIRECT("'"&amp;$B$3&amp;"'!B59")="","",INDIRECT("'"&amp;$B$3&amp;"'!B59"))</f>
        <v/>
      </c>
      <c r="C66" s="22">
        <f>IF(INDIRECT("'"&amp;$B$3&amp;"'!C59")="","",INDIRECT("'"&amp;$B$3&amp;"'!C59"))</f>
        <v/>
      </c>
      <c r="D66" s="23">
        <f>IF(INDIRECT("'"&amp;$B$3&amp;"'!E59")="","",INDIRECT("'"&amp;$B$3&amp;"'!E59"))</f>
        <v/>
      </c>
      <c r="E66" s="23">
        <f>IF(INDIRECT("'"&amp;$B$3&amp;"'!F59")="","",INDIRECT("'"&amp;$B$3&amp;"'!F59"))</f>
        <v/>
      </c>
      <c r="F66" s="23">
        <f>IF(INDIRECT("'"&amp;$B$3&amp;"'!G59")="","",INDIRECT("'"&amp;$B$3&amp;"'!G59"))</f>
        <v/>
      </c>
      <c r="G66" s="23">
        <f>IF(INDIRECT("'"&amp;$B$3&amp;"'!I59")="","",INDIRECT("'"&amp;$B$3&amp;"'!I59"))</f>
        <v/>
      </c>
    </row>
    <row r="67" ht="15" customHeight="1" s="62">
      <c r="A67" s="21">
        <f>IF(INDIRECT("'"&amp;$B$3&amp;"'!A60")="","",INDIRECT("'"&amp;$B$3&amp;"'!A60"))</f>
        <v/>
      </c>
      <c r="B67" s="22">
        <f>IF(INDIRECT("'"&amp;$B$3&amp;"'!B60")="","",INDIRECT("'"&amp;$B$3&amp;"'!B60"))</f>
        <v/>
      </c>
      <c r="C67" s="22">
        <f>IF(INDIRECT("'"&amp;$B$3&amp;"'!C60")="","",INDIRECT("'"&amp;$B$3&amp;"'!C60"))</f>
        <v/>
      </c>
      <c r="D67" s="23">
        <f>IF(INDIRECT("'"&amp;$B$3&amp;"'!E60")="","",INDIRECT("'"&amp;$B$3&amp;"'!E60"))</f>
        <v/>
      </c>
      <c r="E67" s="23">
        <f>IF(INDIRECT("'"&amp;$B$3&amp;"'!F60")="","",INDIRECT("'"&amp;$B$3&amp;"'!F60"))</f>
        <v/>
      </c>
      <c r="F67" s="23">
        <f>IF(INDIRECT("'"&amp;$B$3&amp;"'!G60")="","",INDIRECT("'"&amp;$B$3&amp;"'!G60"))</f>
        <v/>
      </c>
      <c r="G67" s="23">
        <f>IF(INDIRECT("'"&amp;$B$3&amp;"'!I60")="","",INDIRECT("'"&amp;$B$3&amp;"'!I60"))</f>
        <v/>
      </c>
    </row>
    <row r="68" ht="15" customHeight="1" s="62">
      <c r="A68" s="21">
        <f>IF(INDIRECT("'"&amp;$B$3&amp;"'!A61")="","",INDIRECT("'"&amp;$B$3&amp;"'!A61"))</f>
        <v/>
      </c>
      <c r="B68" s="22">
        <f>IF(INDIRECT("'"&amp;$B$3&amp;"'!B61")="","",INDIRECT("'"&amp;$B$3&amp;"'!B61"))</f>
        <v/>
      </c>
      <c r="C68" s="22">
        <f>IF(INDIRECT("'"&amp;$B$3&amp;"'!C61")="","",INDIRECT("'"&amp;$B$3&amp;"'!C61"))</f>
        <v/>
      </c>
      <c r="D68" s="23">
        <f>IF(INDIRECT("'"&amp;$B$3&amp;"'!E61")="","",INDIRECT("'"&amp;$B$3&amp;"'!E61"))</f>
        <v/>
      </c>
      <c r="E68" s="23">
        <f>IF(INDIRECT("'"&amp;$B$3&amp;"'!F61")="","",INDIRECT("'"&amp;$B$3&amp;"'!F61"))</f>
        <v/>
      </c>
      <c r="F68" s="23">
        <f>IF(INDIRECT("'"&amp;$B$3&amp;"'!G61")="","",INDIRECT("'"&amp;$B$3&amp;"'!G61"))</f>
        <v/>
      </c>
      <c r="G68" s="23">
        <f>IF(INDIRECT("'"&amp;$B$3&amp;"'!I61")="","",INDIRECT("'"&amp;$B$3&amp;"'!I61"))</f>
        <v/>
      </c>
    </row>
    <row r="69" ht="15" customHeight="1" s="62">
      <c r="A69" s="21">
        <f>IF(INDIRECT("'"&amp;$B$3&amp;"'!A62")="","",INDIRECT("'"&amp;$B$3&amp;"'!A62"))</f>
        <v/>
      </c>
      <c r="B69" s="22">
        <f>IF(INDIRECT("'"&amp;$B$3&amp;"'!B62")="","",INDIRECT("'"&amp;$B$3&amp;"'!B62"))</f>
        <v/>
      </c>
      <c r="C69" s="22">
        <f>IF(INDIRECT("'"&amp;$B$3&amp;"'!C62")="","",INDIRECT("'"&amp;$B$3&amp;"'!C62"))</f>
        <v/>
      </c>
      <c r="D69" s="23">
        <f>IF(INDIRECT("'"&amp;$B$3&amp;"'!E62")="","",INDIRECT("'"&amp;$B$3&amp;"'!E62"))</f>
        <v/>
      </c>
      <c r="E69" s="23">
        <f>IF(INDIRECT("'"&amp;$B$3&amp;"'!F62")="","",INDIRECT("'"&amp;$B$3&amp;"'!F62"))</f>
        <v/>
      </c>
      <c r="F69" s="23">
        <f>IF(INDIRECT("'"&amp;$B$3&amp;"'!G62")="","",INDIRECT("'"&amp;$B$3&amp;"'!G62"))</f>
        <v/>
      </c>
      <c r="G69" s="23">
        <f>IF(INDIRECT("'"&amp;$B$3&amp;"'!I62")="","",INDIRECT("'"&amp;$B$3&amp;"'!I62"))</f>
        <v/>
      </c>
    </row>
    <row r="70" ht="15" customHeight="1" s="62">
      <c r="A70" s="21">
        <f>IF(INDIRECT("'"&amp;$B$3&amp;"'!A63")="","",INDIRECT("'"&amp;$B$3&amp;"'!A63"))</f>
        <v/>
      </c>
      <c r="B70" s="22">
        <f>IF(INDIRECT("'"&amp;$B$3&amp;"'!B63")="","",INDIRECT("'"&amp;$B$3&amp;"'!B63"))</f>
        <v/>
      </c>
      <c r="C70" s="22">
        <f>IF(INDIRECT("'"&amp;$B$3&amp;"'!C63")="","",INDIRECT("'"&amp;$B$3&amp;"'!C63"))</f>
        <v/>
      </c>
      <c r="D70" s="23">
        <f>IF(INDIRECT("'"&amp;$B$3&amp;"'!E63")="","",INDIRECT("'"&amp;$B$3&amp;"'!E63"))</f>
        <v/>
      </c>
      <c r="E70" s="23">
        <f>IF(INDIRECT("'"&amp;$B$3&amp;"'!F63")="","",INDIRECT("'"&amp;$B$3&amp;"'!F63"))</f>
        <v/>
      </c>
      <c r="F70" s="23">
        <f>IF(INDIRECT("'"&amp;$B$3&amp;"'!G63")="","",INDIRECT("'"&amp;$B$3&amp;"'!G63"))</f>
        <v/>
      </c>
      <c r="G70" s="23">
        <f>IF(INDIRECT("'"&amp;$B$3&amp;"'!I63")="","",INDIRECT("'"&amp;$B$3&amp;"'!I63"))</f>
        <v/>
      </c>
    </row>
    <row r="71" ht="15" customHeight="1" s="62">
      <c r="A71" s="21">
        <f>IF(INDIRECT("'"&amp;$B$3&amp;"'!A64")="","",INDIRECT("'"&amp;$B$3&amp;"'!A64"))</f>
        <v/>
      </c>
      <c r="B71" s="22">
        <f>IF(INDIRECT("'"&amp;$B$3&amp;"'!B64")="","",INDIRECT("'"&amp;$B$3&amp;"'!B64"))</f>
        <v/>
      </c>
      <c r="C71" s="22">
        <f>IF(INDIRECT("'"&amp;$B$3&amp;"'!C64")="","",INDIRECT("'"&amp;$B$3&amp;"'!C64"))</f>
        <v/>
      </c>
      <c r="D71" s="23">
        <f>IF(INDIRECT("'"&amp;$B$3&amp;"'!E64")="","",INDIRECT("'"&amp;$B$3&amp;"'!E64"))</f>
        <v/>
      </c>
      <c r="E71" s="23">
        <f>IF(INDIRECT("'"&amp;$B$3&amp;"'!F64")="","",INDIRECT("'"&amp;$B$3&amp;"'!F64"))</f>
        <v/>
      </c>
      <c r="F71" s="23">
        <f>IF(INDIRECT("'"&amp;$B$3&amp;"'!G64")="","",INDIRECT("'"&amp;$B$3&amp;"'!G64"))</f>
        <v/>
      </c>
      <c r="G71" s="23">
        <f>IF(INDIRECT("'"&amp;$B$3&amp;"'!I64")="","",INDIRECT("'"&amp;$B$3&amp;"'!I64"))</f>
        <v/>
      </c>
    </row>
    <row r="72" ht="15" customHeight="1" s="62">
      <c r="A72" s="21">
        <f>IF(INDIRECT("'"&amp;$B$3&amp;"'!A65")="","",INDIRECT("'"&amp;$B$3&amp;"'!A65"))</f>
        <v/>
      </c>
      <c r="B72" s="22">
        <f>IF(INDIRECT("'"&amp;$B$3&amp;"'!B65")="","",INDIRECT("'"&amp;$B$3&amp;"'!B65"))</f>
        <v/>
      </c>
      <c r="C72" s="22">
        <f>IF(INDIRECT("'"&amp;$B$3&amp;"'!C65")="","",INDIRECT("'"&amp;$B$3&amp;"'!C65"))</f>
        <v/>
      </c>
      <c r="D72" s="23">
        <f>IF(INDIRECT("'"&amp;$B$3&amp;"'!E65")="","",INDIRECT("'"&amp;$B$3&amp;"'!E65"))</f>
        <v/>
      </c>
      <c r="E72" s="23">
        <f>IF(INDIRECT("'"&amp;$B$3&amp;"'!F65")="","",INDIRECT("'"&amp;$B$3&amp;"'!F65"))</f>
        <v/>
      </c>
      <c r="F72" s="23">
        <f>IF(INDIRECT("'"&amp;$B$3&amp;"'!G65")="","",INDIRECT("'"&amp;$B$3&amp;"'!G65"))</f>
        <v/>
      </c>
      <c r="G72" s="23">
        <f>IF(INDIRECT("'"&amp;$B$3&amp;"'!I65")="","",INDIRECT("'"&amp;$B$3&amp;"'!I65"))</f>
        <v/>
      </c>
    </row>
    <row r="73" ht="15" customHeight="1" s="62">
      <c r="A73" s="21">
        <f>IF(INDIRECT("'"&amp;$B$3&amp;"'!A66")="","",INDIRECT("'"&amp;$B$3&amp;"'!A66"))</f>
        <v/>
      </c>
      <c r="B73" s="22">
        <f>IF(INDIRECT("'"&amp;$B$3&amp;"'!B66")="","",INDIRECT("'"&amp;$B$3&amp;"'!B66"))</f>
        <v/>
      </c>
      <c r="C73" s="22">
        <f>IF(INDIRECT("'"&amp;$B$3&amp;"'!C66")="","",INDIRECT("'"&amp;$B$3&amp;"'!C66"))</f>
        <v/>
      </c>
      <c r="D73" s="23">
        <f>IF(INDIRECT("'"&amp;$B$3&amp;"'!E66")="","",INDIRECT("'"&amp;$B$3&amp;"'!E66"))</f>
        <v/>
      </c>
      <c r="E73" s="23">
        <f>IF(INDIRECT("'"&amp;$B$3&amp;"'!F66")="","",INDIRECT("'"&amp;$B$3&amp;"'!F66"))</f>
        <v/>
      </c>
      <c r="F73" s="23">
        <f>IF(INDIRECT("'"&amp;$B$3&amp;"'!G66")="","",INDIRECT("'"&amp;$B$3&amp;"'!G66"))</f>
        <v/>
      </c>
      <c r="G73" s="23">
        <f>IF(INDIRECT("'"&amp;$B$3&amp;"'!I66")="","",INDIRECT("'"&amp;$B$3&amp;"'!I66"))</f>
        <v/>
      </c>
    </row>
    <row r="74" ht="15" customHeight="1" s="62">
      <c r="A74" s="21">
        <f>IF(INDIRECT("'"&amp;$B$3&amp;"'!A67")="","",INDIRECT("'"&amp;$B$3&amp;"'!A67"))</f>
        <v/>
      </c>
      <c r="B74" s="22">
        <f>IF(INDIRECT("'"&amp;$B$3&amp;"'!B67")="","",INDIRECT("'"&amp;$B$3&amp;"'!B67"))</f>
        <v/>
      </c>
      <c r="C74" s="22">
        <f>IF(INDIRECT("'"&amp;$B$3&amp;"'!C67")="","",INDIRECT("'"&amp;$B$3&amp;"'!C67"))</f>
        <v/>
      </c>
      <c r="D74" s="23">
        <f>IF(INDIRECT("'"&amp;$B$3&amp;"'!E67")="","",INDIRECT("'"&amp;$B$3&amp;"'!E67"))</f>
        <v/>
      </c>
      <c r="E74" s="23">
        <f>IF(INDIRECT("'"&amp;$B$3&amp;"'!F67")="","",INDIRECT("'"&amp;$B$3&amp;"'!F67"))</f>
        <v/>
      </c>
      <c r="F74" s="23">
        <f>IF(INDIRECT("'"&amp;$B$3&amp;"'!G67")="","",INDIRECT("'"&amp;$B$3&amp;"'!G67"))</f>
        <v/>
      </c>
      <c r="G74" s="23">
        <f>IF(INDIRECT("'"&amp;$B$3&amp;"'!I67")="","",INDIRECT("'"&amp;$B$3&amp;"'!I67"))</f>
        <v/>
      </c>
    </row>
    <row r="75" ht="15" customHeight="1" s="62">
      <c r="A75" s="21">
        <f>IF(INDIRECT("'"&amp;$B$3&amp;"'!A68")="","",INDIRECT("'"&amp;$B$3&amp;"'!A68"))</f>
        <v/>
      </c>
      <c r="B75" s="22">
        <f>IF(INDIRECT("'"&amp;$B$3&amp;"'!B68")="","",INDIRECT("'"&amp;$B$3&amp;"'!B68"))</f>
        <v/>
      </c>
      <c r="C75" s="22">
        <f>IF(INDIRECT("'"&amp;$B$3&amp;"'!C68")="","",INDIRECT("'"&amp;$B$3&amp;"'!C68"))</f>
        <v/>
      </c>
      <c r="D75" s="23">
        <f>IF(INDIRECT("'"&amp;$B$3&amp;"'!E68")="","",INDIRECT("'"&amp;$B$3&amp;"'!E68"))</f>
        <v/>
      </c>
      <c r="E75" s="23">
        <f>IF(INDIRECT("'"&amp;$B$3&amp;"'!F68")="","",INDIRECT("'"&amp;$B$3&amp;"'!F68"))</f>
        <v/>
      </c>
      <c r="F75" s="23">
        <f>IF(INDIRECT("'"&amp;$B$3&amp;"'!G68")="","",INDIRECT("'"&amp;$B$3&amp;"'!G68"))</f>
        <v/>
      </c>
      <c r="G75" s="23">
        <f>IF(INDIRECT("'"&amp;$B$3&amp;"'!I68")="","",INDIRECT("'"&amp;$B$3&amp;"'!I68"))</f>
        <v/>
      </c>
    </row>
    <row r="76" ht="15" customHeight="1" s="62">
      <c r="A76" s="21">
        <f>IF(INDIRECT("'"&amp;$B$3&amp;"'!A69")="","",INDIRECT("'"&amp;$B$3&amp;"'!A69"))</f>
        <v/>
      </c>
      <c r="B76" s="22">
        <f>IF(INDIRECT("'"&amp;$B$3&amp;"'!B69")="","",INDIRECT("'"&amp;$B$3&amp;"'!B69"))</f>
        <v/>
      </c>
      <c r="C76" s="22">
        <f>IF(INDIRECT("'"&amp;$B$3&amp;"'!C69")="","",INDIRECT("'"&amp;$B$3&amp;"'!C69"))</f>
        <v/>
      </c>
      <c r="D76" s="23">
        <f>IF(INDIRECT("'"&amp;$B$3&amp;"'!E69")="","",INDIRECT("'"&amp;$B$3&amp;"'!E69"))</f>
        <v/>
      </c>
      <c r="E76" s="23">
        <f>IF(INDIRECT("'"&amp;$B$3&amp;"'!F69")="","",INDIRECT("'"&amp;$B$3&amp;"'!F69"))</f>
        <v/>
      </c>
      <c r="F76" s="23">
        <f>IF(INDIRECT("'"&amp;$B$3&amp;"'!G69")="","",INDIRECT("'"&amp;$B$3&amp;"'!G69"))</f>
        <v/>
      </c>
      <c r="G76" s="23">
        <f>IF(INDIRECT("'"&amp;$B$3&amp;"'!I69")="","",INDIRECT("'"&amp;$B$3&amp;"'!I69"))</f>
        <v/>
      </c>
    </row>
    <row r="77" ht="15" customHeight="1" s="62">
      <c r="A77" s="21">
        <f>IF(INDIRECT("'"&amp;$B$3&amp;"'!A70")="","",INDIRECT("'"&amp;$B$3&amp;"'!A70"))</f>
        <v/>
      </c>
      <c r="B77" s="22">
        <f>IF(INDIRECT("'"&amp;$B$3&amp;"'!B70")="","",INDIRECT("'"&amp;$B$3&amp;"'!B70"))</f>
        <v/>
      </c>
      <c r="C77" s="22">
        <f>IF(INDIRECT("'"&amp;$B$3&amp;"'!C70")="","",INDIRECT("'"&amp;$B$3&amp;"'!C70"))</f>
        <v/>
      </c>
      <c r="D77" s="23">
        <f>IF(INDIRECT("'"&amp;$B$3&amp;"'!E70")="","",INDIRECT("'"&amp;$B$3&amp;"'!E70"))</f>
        <v/>
      </c>
      <c r="E77" s="23">
        <f>IF(INDIRECT("'"&amp;$B$3&amp;"'!F70")="","",INDIRECT("'"&amp;$B$3&amp;"'!F70"))</f>
        <v/>
      </c>
      <c r="F77" s="23">
        <f>IF(INDIRECT("'"&amp;$B$3&amp;"'!G70")="","",INDIRECT("'"&amp;$B$3&amp;"'!G70"))</f>
        <v/>
      </c>
      <c r="G77" s="23">
        <f>IF(INDIRECT("'"&amp;$B$3&amp;"'!I70")="","",INDIRECT("'"&amp;$B$3&amp;"'!I70"))</f>
        <v/>
      </c>
    </row>
    <row r="78" ht="15" customHeight="1" s="62">
      <c r="A78" s="21">
        <f>IF(INDIRECT("'"&amp;$B$3&amp;"'!A71")="","",INDIRECT("'"&amp;$B$3&amp;"'!A71"))</f>
        <v/>
      </c>
      <c r="B78" s="22">
        <f>IF(INDIRECT("'"&amp;$B$3&amp;"'!B71")="","",INDIRECT("'"&amp;$B$3&amp;"'!B71"))</f>
        <v/>
      </c>
      <c r="C78" s="22">
        <f>IF(INDIRECT("'"&amp;$B$3&amp;"'!C71")="","",INDIRECT("'"&amp;$B$3&amp;"'!C71"))</f>
        <v/>
      </c>
      <c r="D78" s="23">
        <f>IF(INDIRECT("'"&amp;$B$3&amp;"'!E71")="","",INDIRECT("'"&amp;$B$3&amp;"'!E71"))</f>
        <v/>
      </c>
      <c r="E78" s="23">
        <f>IF(INDIRECT("'"&amp;$B$3&amp;"'!F71")="","",INDIRECT("'"&amp;$B$3&amp;"'!F71"))</f>
        <v/>
      </c>
      <c r="F78" s="23">
        <f>IF(INDIRECT("'"&amp;$B$3&amp;"'!G71")="","",INDIRECT("'"&amp;$B$3&amp;"'!G71"))</f>
        <v/>
      </c>
      <c r="G78" s="23">
        <f>IF(INDIRECT("'"&amp;$B$3&amp;"'!I71")="","",INDIRECT("'"&amp;$B$3&amp;"'!I71"))</f>
        <v/>
      </c>
    </row>
    <row r="79" ht="15" customHeight="1" s="62">
      <c r="A79" s="21">
        <f>IF(INDIRECT("'"&amp;$B$3&amp;"'!A72")="","",INDIRECT("'"&amp;$B$3&amp;"'!A72"))</f>
        <v/>
      </c>
      <c r="B79" s="22">
        <f>IF(INDIRECT("'"&amp;$B$3&amp;"'!B72")="","",INDIRECT("'"&amp;$B$3&amp;"'!B72"))</f>
        <v/>
      </c>
      <c r="C79" s="22">
        <f>IF(INDIRECT("'"&amp;$B$3&amp;"'!C72")="","",INDIRECT("'"&amp;$B$3&amp;"'!C72"))</f>
        <v/>
      </c>
      <c r="D79" s="23">
        <f>IF(INDIRECT("'"&amp;$B$3&amp;"'!E72")="","",INDIRECT("'"&amp;$B$3&amp;"'!E72"))</f>
        <v/>
      </c>
      <c r="E79" s="23">
        <f>IF(INDIRECT("'"&amp;$B$3&amp;"'!F72")="","",INDIRECT("'"&amp;$B$3&amp;"'!F72"))</f>
        <v/>
      </c>
      <c r="F79" s="23">
        <f>IF(INDIRECT("'"&amp;$B$3&amp;"'!G72")="","",INDIRECT("'"&amp;$B$3&amp;"'!G72"))</f>
        <v/>
      </c>
      <c r="G79" s="23">
        <f>IF(INDIRECT("'"&amp;$B$3&amp;"'!I72")="","",INDIRECT("'"&amp;$B$3&amp;"'!I72"))</f>
        <v/>
      </c>
    </row>
    <row r="80" ht="15" customHeight="1" s="62">
      <c r="A80" s="21">
        <f>IF(INDIRECT("'"&amp;$B$3&amp;"'!A73")="","",INDIRECT("'"&amp;$B$3&amp;"'!A73"))</f>
        <v/>
      </c>
      <c r="B80" s="22">
        <f>IF(INDIRECT("'"&amp;$B$3&amp;"'!B73")="","",INDIRECT("'"&amp;$B$3&amp;"'!B73"))</f>
        <v/>
      </c>
      <c r="C80" s="22">
        <f>IF(INDIRECT("'"&amp;$B$3&amp;"'!C73")="","",INDIRECT("'"&amp;$B$3&amp;"'!C73"))</f>
        <v/>
      </c>
      <c r="D80" s="23">
        <f>IF(INDIRECT("'"&amp;$B$3&amp;"'!E73")="","",INDIRECT("'"&amp;$B$3&amp;"'!E73"))</f>
        <v/>
      </c>
      <c r="E80" s="23">
        <f>IF(INDIRECT("'"&amp;$B$3&amp;"'!F73")="","",INDIRECT("'"&amp;$B$3&amp;"'!F73"))</f>
        <v/>
      </c>
      <c r="F80" s="23">
        <f>IF(INDIRECT("'"&amp;$B$3&amp;"'!G73")="","",INDIRECT("'"&amp;$B$3&amp;"'!G73"))</f>
        <v/>
      </c>
      <c r="G80" s="23">
        <f>IF(INDIRECT("'"&amp;$B$3&amp;"'!I73")="","",INDIRECT("'"&amp;$B$3&amp;"'!I73"))</f>
        <v/>
      </c>
    </row>
    <row r="82" ht="15" customHeight="1" s="62">
      <c r="A82" s="66" t="inlineStr">
        <is>
          <t>This statement is generated from the unit ledger. For queries contact the property manager.</t>
        </is>
      </c>
    </row>
    <row r="83" ht="15" customHeight="1" s="62">
      <c r="A83" t="inlineStr">
        <is>
          <t>Printed on:</t>
        </is>
      </c>
      <c r="B83" s="24">
        <f>TODAY()</f>
        <v/>
      </c>
    </row>
    <row r="85">
      <c r="A85" s="68" t="inlineStr">
        <is>
          <t>AUTOMATED PDF (desktop Excel + VBA)</t>
        </is>
      </c>
    </row>
    <row r="86">
      <c r="A86" s="65" t="inlineStr">
        <is>
          <t>1. Press Alt+F11 → Insert → Module → paste the macro from the Instructions sheet (section PDF AUTOMATION).</t>
        </is>
      </c>
    </row>
    <row r="87">
      <c r="A87" s="65" t="inlineStr">
        <is>
          <t>2. Close VBA. On Statement sheet set unit in yellow B3.</t>
        </is>
      </c>
    </row>
    <row r="88">
      <c r="A88" s="65" t="inlineStr">
        <is>
          <t>3. Press Alt+F8 → run GenerateTenantPDF → PDF is saved next to this workbook.</t>
        </is>
      </c>
    </row>
    <row r="89">
      <c r="A89" s="65" t="inlineStr">
        <is>
          <t>4. Optional: run GenerateAllTenantPDFs to create one PDF per unit into a "Statements" folder.</t>
        </is>
      </c>
    </row>
  </sheetData>
  <mergeCells count="9">
    <mergeCell ref="A89:G89"/>
    <mergeCell ref="A1:G1"/>
    <mergeCell ref="A88:G88"/>
    <mergeCell ref="A87:G87"/>
    <mergeCell ref="A2:G2"/>
    <mergeCell ref="A86:G86"/>
    <mergeCell ref="A82:G82"/>
    <mergeCell ref="A11:G11"/>
    <mergeCell ref="A85:G85"/>
  </mergeCells>
  <conditionalFormatting sqref="A13:F80">
    <cfRule type="expression" priority="8" dxfId="163">
      <formula>$C13="Payment Received"</formula>
    </cfRule>
    <cfRule type="expression" priority="12" dxfId="162">
      <formula>$C13="Monthly Rent Charge"</formula>
    </cfRule>
  </conditionalFormatting>
  <conditionalFormatting sqref="B9">
    <cfRule type="cellIs" priority="2" operator="lessThan" dxfId="157">
      <formula>0</formula>
    </cfRule>
    <cfRule type="cellIs" priority="3" operator="equal" dxfId="157">
      <formula>0</formula>
    </cfRule>
    <cfRule type="cellIs" priority="4" operator="greaterThan" dxfId="156">
      <formula>0</formula>
    </cfRule>
  </conditionalFormatting>
  <conditionalFormatting sqref="G13:G80">
    <cfRule type="cellIs" priority="5" operator="lessThan" dxfId="157">
      <formula>0</formula>
    </cfRule>
    <cfRule type="cellIs" priority="6" operator="equal" dxfId="157">
      <formula>0</formula>
    </cfRule>
    <cfRule type="cellIs" priority="7" operator="greaterThan" dxfId="156">
      <formula>0</formula>
    </cfRule>
    <cfRule type="cellIs" priority="9" operator="lessThan" dxfId="3">
      <formula>0</formula>
    </cfRule>
    <cfRule type="cellIs" priority="10" operator="equal" dxfId="3">
      <formula>0</formula>
    </cfRule>
    <cfRule type="cellIs" priority="11" operator="greaterThan" dxfId="2">
      <formula>0</formula>
    </cfRule>
  </conditionalFormatting>
  <dataValidations count="1">
    <dataValidation sqref="B3" showDropDown="0" showInputMessage="0" showErrorMessage="0" allowBlank="0" type="list">
      <formula1>"A1,A2,A3,A4,A5,A6,A7,B1,B2,B3,C1,C2,C3,Shop 1,Shop 2"</formula1>
      <formula2>0</formula2>
    </dataValidation>
  </dataValidations>
  <pageMargins left="0.75" right="0.75" top="1" bottom="1" header="0.511811023622047" footer="0.511811023622047"/>
  <pageSetup orientation="portrait" fitToHeight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9"/>
  <sheetViews>
    <sheetView workbookViewId="0">
      <pane ySplit="39" topLeftCell="A106" activePane="bottomLeft" state="frozen"/>
      <selection pane="bottomLeft" activeCell="A6" sqref="A6"/>
    </sheetView>
  </sheetViews>
  <sheetFormatPr baseColWidth="8" defaultRowHeight="14.4"/>
  <cols>
    <col width="10" customWidth="1" style="62" min="1" max="1"/>
    <col width="28" customWidth="1" style="62" min="2" max="2"/>
    <col width="12" customWidth="1" style="62" min="3" max="4"/>
    <col width="18" customWidth="1" style="62" min="5" max="5"/>
    <col width="12" customWidth="1" style="62" min="6" max="7"/>
    <col width="14" customWidth="1" style="62" min="8" max="8"/>
    <col width="16" customWidth="1" style="62" min="9" max="9"/>
    <col width="14" customWidth="1" style="62" min="10" max="10"/>
    <col width="18" customWidth="1" style="62" min="11" max="11"/>
    <col width="12" customWidth="1" style="62" min="12" max="12"/>
  </cols>
  <sheetData>
    <row r="1" ht="27.9" customHeight="1" s="62">
      <c r="A1" s="70" t="inlineStr">
        <is>
          <t>TENANCY ARCHIVE — previous tenants only</t>
        </is>
      </c>
    </row>
    <row r="2">
      <c r="A2" s="69" t="inlineStr">
        <is>
          <t>When a tenant vacates: copy their full ledger from the unit sheet into this Archive, then clear the unit sheet for the new tenant. Unit sheets should only show the CURRENT tenant.</t>
        </is>
      </c>
    </row>
    <row r="4">
      <c r="A4" s="71" t="inlineStr">
        <is>
          <t>CLOSED TENANCIES REGISTER</t>
        </is>
      </c>
    </row>
    <row r="5" ht="26.25" customHeight="1" s="62">
      <c r="A5" s="44" t="inlineStr">
        <is>
          <t>Unit</t>
        </is>
      </c>
      <c r="B5" s="44" t="inlineStr">
        <is>
          <t>Tenant Name</t>
        </is>
      </c>
      <c r="C5" s="44" t="inlineStr">
        <is>
          <t>Move-in Date</t>
        </is>
      </c>
      <c r="D5" s="44" t="inlineStr">
        <is>
          <t>Move-out Date</t>
        </is>
      </c>
      <c r="E5" s="44" t="inlineStr">
        <is>
          <t>Final Balance</t>
        </is>
      </c>
      <c r="F5" s="44" t="inlineStr">
        <is>
          <t>Deposit Held</t>
        </is>
      </c>
      <c r="G5" s="44" t="inlineStr">
        <is>
          <t>Deposit Refunded</t>
        </is>
      </c>
      <c r="H5" s="44" t="inlineStr">
        <is>
          <t>Deposit Forfeited</t>
        </is>
      </c>
      <c r="I5" s="44" t="inlineStr">
        <is>
          <t>Reason for Leaving</t>
        </is>
      </c>
      <c r="J5" s="44" t="inlineStr">
        <is>
          <t>Notes</t>
        </is>
      </c>
      <c r="K5" s="44" t="inlineStr">
        <is>
          <t>Arrears Outcome</t>
        </is>
      </c>
    </row>
    <row r="6">
      <c r="A6" s="45" t="n"/>
      <c r="B6" s="45">
        <f>IF(A6="","",IFERROR(INDIRECT("'"&amp;A6&amp;"'!J3"),""))</f>
        <v/>
      </c>
      <c r="C6" s="47">
        <f>IF(A6="","",IFERROR(INDEX(INDIRECT("'"&amp;A6&amp;"'!A6:A200"),MATCH(TRUE,INDEX(INDIRECT("'"&amp;A6&amp;"'!A6:A200")&lt;&gt;"",0),0)),""))</f>
        <v/>
      </c>
      <c r="D6" s="47" t="n"/>
      <c r="E6" s="46">
        <f>IF(A6="","",IFERROR(INDIRECT("'"&amp;A6&amp;"'!H3"),""))</f>
        <v/>
      </c>
      <c r="F6" s="46">
        <f>IF(A6="","",IFERROR(INDIRECT("'"&amp;A6&amp;"'!L3"),""))</f>
        <v/>
      </c>
      <c r="G6" s="46" t="n"/>
      <c r="H6" s="46" t="n"/>
      <c r="I6" s="45" t="n"/>
      <c r="J6" s="45" t="n"/>
      <c r="K6" s="45" t="n"/>
    </row>
    <row r="7">
      <c r="A7" s="45" t="n"/>
      <c r="B7" s="45">
        <f>IF(A7="","",IFERROR(INDIRECT("'"&amp;A7&amp;"'!J3"),""))</f>
        <v/>
      </c>
      <c r="C7" s="47">
        <f>IF(A7="","",IFERROR(INDEX(INDIRECT("'"&amp;A7&amp;"'!A6:A200"),MATCH(TRUE,INDEX(INDIRECT("'"&amp;A7&amp;"'!A6:A200")&lt;&gt;"",0),0)),""))</f>
        <v/>
      </c>
      <c r="D7" s="47" t="n"/>
      <c r="E7" s="46">
        <f>IF(A7="","",IFERROR(INDIRECT("'"&amp;A7&amp;"'!H3"),""))</f>
        <v/>
      </c>
      <c r="F7" s="46">
        <f>IF(A7="","",IFERROR(INDIRECT("'"&amp;A7&amp;"'!L3"),""))</f>
        <v/>
      </c>
      <c r="G7" s="46" t="n"/>
      <c r="H7" s="46" t="n"/>
      <c r="I7" s="45" t="n"/>
      <c r="J7" s="45" t="n"/>
      <c r="K7" s="45" t="n"/>
    </row>
    <row r="8">
      <c r="A8" s="45" t="n"/>
      <c r="B8" s="45">
        <f>IF(A8="","",IFERROR(INDIRECT("'"&amp;A8&amp;"'!J3"),""))</f>
        <v/>
      </c>
      <c r="C8" s="47">
        <f>IF(A8="","",IFERROR(INDEX(INDIRECT("'"&amp;A8&amp;"'!A6:A200"),MATCH(TRUE,INDEX(INDIRECT("'"&amp;A8&amp;"'!A6:A200")&lt;&gt;"",0),0)),""))</f>
        <v/>
      </c>
      <c r="D8" s="47" t="n"/>
      <c r="E8" s="46">
        <f>IF(A8="","",IFERROR(INDIRECT("'"&amp;A8&amp;"'!H3"),""))</f>
        <v/>
      </c>
      <c r="F8" s="46">
        <f>IF(A8="","",IFERROR(INDIRECT("'"&amp;A8&amp;"'!L3"),""))</f>
        <v/>
      </c>
      <c r="G8" s="46" t="n"/>
      <c r="H8" s="46" t="n"/>
      <c r="I8" s="45" t="n"/>
      <c r="J8" s="45" t="n"/>
      <c r="K8" s="45" t="n"/>
    </row>
    <row r="9">
      <c r="A9" s="45" t="n"/>
      <c r="B9" s="45">
        <f>IF(A9="","",IFERROR(INDIRECT("'"&amp;A9&amp;"'!J3"),""))</f>
        <v/>
      </c>
      <c r="C9" s="47">
        <f>IF(A9="","",IFERROR(INDEX(INDIRECT("'"&amp;A9&amp;"'!A6:A200"),MATCH(TRUE,INDEX(INDIRECT("'"&amp;A9&amp;"'!A6:A200")&lt;&gt;"",0),0)),""))</f>
        <v/>
      </c>
      <c r="D9" s="47" t="n"/>
      <c r="E9" s="46">
        <f>IF(A9="","",IFERROR(INDIRECT("'"&amp;A9&amp;"'!H3"),""))</f>
        <v/>
      </c>
      <c r="F9" s="46">
        <f>IF(A9="","",IFERROR(INDIRECT("'"&amp;A9&amp;"'!L3"),""))</f>
        <v/>
      </c>
      <c r="G9" s="46" t="n"/>
      <c r="H9" s="46" t="n"/>
      <c r="I9" s="45" t="n"/>
      <c r="J9" s="45" t="n"/>
      <c r="K9" s="45" t="n"/>
    </row>
    <row r="10">
      <c r="A10" s="45" t="n"/>
      <c r="B10" s="45">
        <f>IF(A10="","",IFERROR(INDIRECT("'"&amp;A10&amp;"'!J3"),""))</f>
        <v/>
      </c>
      <c r="C10" s="47">
        <f>IF(A10="","",IFERROR(INDEX(INDIRECT("'"&amp;A10&amp;"'!A6:A200"),MATCH(TRUE,INDEX(INDIRECT("'"&amp;A10&amp;"'!A6:A200")&lt;&gt;"",0),0)),""))</f>
        <v/>
      </c>
      <c r="D10" s="47" t="n"/>
      <c r="E10" s="46">
        <f>IF(A10="","",IFERROR(INDIRECT("'"&amp;A10&amp;"'!H3"),""))</f>
        <v/>
      </c>
      <c r="F10" s="46">
        <f>IF(A10="","",IFERROR(INDIRECT("'"&amp;A10&amp;"'!L3"),""))</f>
        <v/>
      </c>
      <c r="G10" s="46" t="n"/>
      <c r="H10" s="46" t="n"/>
      <c r="I10" s="45" t="n"/>
      <c r="J10" s="45" t="n"/>
      <c r="K10" s="45" t="n"/>
    </row>
    <row r="11">
      <c r="A11" s="45" t="n"/>
      <c r="B11" s="45">
        <f>IF(A11="","",IFERROR(INDIRECT("'"&amp;A11&amp;"'!J3"),""))</f>
        <v/>
      </c>
      <c r="C11" s="47">
        <f>IF(A11="","",IFERROR(INDEX(INDIRECT("'"&amp;A11&amp;"'!A6:A200"),MATCH(TRUE,INDEX(INDIRECT("'"&amp;A11&amp;"'!A6:A200")&lt;&gt;"",0),0)),""))</f>
        <v/>
      </c>
      <c r="D11" s="47" t="n"/>
      <c r="E11" s="46">
        <f>IF(A11="","",IFERROR(INDIRECT("'"&amp;A11&amp;"'!H3"),""))</f>
        <v/>
      </c>
      <c r="F11" s="46">
        <f>IF(A11="","",IFERROR(INDIRECT("'"&amp;A11&amp;"'!L3"),""))</f>
        <v/>
      </c>
      <c r="G11" s="46" t="n"/>
      <c r="H11" s="46" t="n"/>
      <c r="I11" s="45" t="n"/>
      <c r="J11" s="45" t="n"/>
      <c r="K11" s="45" t="n"/>
    </row>
    <row r="12">
      <c r="A12" s="45" t="n"/>
      <c r="B12" s="45">
        <f>IF(A12="","",IFERROR(INDIRECT("'"&amp;A12&amp;"'!J3"),""))</f>
        <v/>
      </c>
      <c r="C12" s="47">
        <f>IF(A12="","",IFERROR(INDEX(INDIRECT("'"&amp;A12&amp;"'!A6:A200"),MATCH(TRUE,INDEX(INDIRECT("'"&amp;A12&amp;"'!A6:A200")&lt;&gt;"",0),0)),""))</f>
        <v/>
      </c>
      <c r="D12" s="47" t="n"/>
      <c r="E12" s="46">
        <f>IF(A12="","",IFERROR(INDIRECT("'"&amp;A12&amp;"'!H3"),""))</f>
        <v/>
      </c>
      <c r="F12" s="46">
        <f>IF(A12="","",IFERROR(INDIRECT("'"&amp;A12&amp;"'!L3"),""))</f>
        <v/>
      </c>
      <c r="G12" s="46" t="n"/>
      <c r="H12" s="46" t="n"/>
      <c r="I12" s="45" t="n"/>
      <c r="J12" s="45" t="n"/>
      <c r="K12" s="45" t="n"/>
    </row>
    <row r="13">
      <c r="A13" s="45" t="n"/>
      <c r="B13" s="45">
        <f>IF(A13="","",IFERROR(INDIRECT("'"&amp;A13&amp;"'!J3"),""))</f>
        <v/>
      </c>
      <c r="C13" s="47">
        <f>IF(A13="","",IFERROR(INDEX(INDIRECT("'"&amp;A13&amp;"'!A6:A200"),MATCH(TRUE,INDEX(INDIRECT("'"&amp;A13&amp;"'!A6:A200")&lt;&gt;"",0),0)),""))</f>
        <v/>
      </c>
      <c r="D13" s="47" t="n"/>
      <c r="E13" s="46">
        <f>IF(A13="","",IFERROR(INDIRECT("'"&amp;A13&amp;"'!H3"),""))</f>
        <v/>
      </c>
      <c r="F13" s="46">
        <f>IF(A13="","",IFERROR(INDIRECT("'"&amp;A13&amp;"'!L3"),""))</f>
        <v/>
      </c>
      <c r="G13" s="46" t="n"/>
      <c r="H13" s="46" t="n"/>
      <c r="I13" s="45" t="n"/>
      <c r="J13" s="45" t="n"/>
      <c r="K13" s="45" t="n"/>
    </row>
    <row r="14">
      <c r="A14" s="45" t="n"/>
      <c r="B14" s="45">
        <f>IF(A14="","",IFERROR(INDIRECT("'"&amp;A14&amp;"'!J3"),""))</f>
        <v/>
      </c>
      <c r="C14" s="47">
        <f>IF(A14="","",IFERROR(INDEX(INDIRECT("'"&amp;A14&amp;"'!A6:A200"),MATCH(TRUE,INDEX(INDIRECT("'"&amp;A14&amp;"'!A6:A200")&lt;&gt;"",0),0)),""))</f>
        <v/>
      </c>
      <c r="D14" s="47" t="n"/>
      <c r="E14" s="46">
        <f>IF(A14="","",IFERROR(INDIRECT("'"&amp;A14&amp;"'!H3"),""))</f>
        <v/>
      </c>
      <c r="F14" s="46">
        <f>IF(A14="","",IFERROR(INDIRECT("'"&amp;A14&amp;"'!L3"),""))</f>
        <v/>
      </c>
      <c r="G14" s="46" t="n"/>
      <c r="H14" s="46" t="n"/>
      <c r="I14" s="45" t="n"/>
      <c r="J14" s="45" t="n"/>
      <c r="K14" s="45" t="n"/>
    </row>
    <row r="15">
      <c r="A15" s="45" t="n"/>
      <c r="B15" s="45">
        <f>IF(A15="","",IFERROR(INDIRECT("'"&amp;A15&amp;"'!J3"),""))</f>
        <v/>
      </c>
      <c r="C15" s="47">
        <f>IF(A15="","",IFERROR(INDEX(INDIRECT("'"&amp;A15&amp;"'!A6:A200"),MATCH(TRUE,INDEX(INDIRECT("'"&amp;A15&amp;"'!A6:A200")&lt;&gt;"",0),0)),""))</f>
        <v/>
      </c>
      <c r="D15" s="47" t="n"/>
      <c r="E15" s="46">
        <f>IF(A15="","",IFERROR(INDIRECT("'"&amp;A15&amp;"'!H3"),""))</f>
        <v/>
      </c>
      <c r="F15" s="46">
        <f>IF(A15="","",IFERROR(INDIRECT("'"&amp;A15&amp;"'!L3"),""))</f>
        <v/>
      </c>
      <c r="G15" s="46" t="n"/>
      <c r="H15" s="46" t="n"/>
      <c r="I15" s="45" t="n"/>
      <c r="J15" s="45" t="n"/>
      <c r="K15" s="45" t="n"/>
    </row>
    <row r="16">
      <c r="A16" s="45" t="n"/>
      <c r="B16" s="45">
        <f>IF(A16="","",IFERROR(INDIRECT("'"&amp;A16&amp;"'!J3"),""))</f>
        <v/>
      </c>
      <c r="C16" s="47">
        <f>IF(A16="","",IFERROR(INDEX(INDIRECT("'"&amp;A16&amp;"'!A6:A200"),MATCH(TRUE,INDEX(INDIRECT("'"&amp;A16&amp;"'!A6:A200")&lt;&gt;"",0),0)),""))</f>
        <v/>
      </c>
      <c r="D16" s="47" t="n"/>
      <c r="E16" s="46">
        <f>IF(A16="","",IFERROR(INDIRECT("'"&amp;A16&amp;"'!H3"),""))</f>
        <v/>
      </c>
      <c r="F16" s="46">
        <f>IF(A16="","",IFERROR(INDIRECT("'"&amp;A16&amp;"'!L3"),""))</f>
        <v/>
      </c>
      <c r="G16" s="46" t="n"/>
      <c r="H16" s="46" t="n"/>
      <c r="I16" s="45" t="n"/>
      <c r="J16" s="45" t="n"/>
      <c r="K16" s="45" t="n"/>
    </row>
    <row r="17">
      <c r="A17" s="45" t="n"/>
      <c r="B17" s="45">
        <f>IF(A17="","",IFERROR(INDIRECT("'"&amp;A17&amp;"'!J3"),""))</f>
        <v/>
      </c>
      <c r="C17" s="47">
        <f>IF(A17="","",IFERROR(INDEX(INDIRECT("'"&amp;A17&amp;"'!A6:A200"),MATCH(TRUE,INDEX(INDIRECT("'"&amp;A17&amp;"'!A6:A200")&lt;&gt;"",0),0)),""))</f>
        <v/>
      </c>
      <c r="D17" s="47" t="n"/>
      <c r="E17" s="46">
        <f>IF(A17="","",IFERROR(INDIRECT("'"&amp;A17&amp;"'!H3"),""))</f>
        <v/>
      </c>
      <c r="F17" s="46">
        <f>IF(A17="","",IFERROR(INDIRECT("'"&amp;A17&amp;"'!L3"),""))</f>
        <v/>
      </c>
      <c r="G17" s="46" t="n"/>
      <c r="H17" s="46" t="n"/>
      <c r="I17" s="45" t="n"/>
      <c r="J17" s="45" t="n"/>
      <c r="K17" s="45" t="n"/>
    </row>
    <row r="18">
      <c r="A18" s="45" t="n"/>
      <c r="B18" s="45">
        <f>IF(A18="","",IFERROR(INDIRECT("'"&amp;A18&amp;"'!J3"),""))</f>
        <v/>
      </c>
      <c r="C18" s="47">
        <f>IF(A18="","",IFERROR(INDEX(INDIRECT("'"&amp;A18&amp;"'!A6:A200"),MATCH(TRUE,INDEX(INDIRECT("'"&amp;A18&amp;"'!A6:A200")&lt;&gt;"",0),0)),""))</f>
        <v/>
      </c>
      <c r="D18" s="47" t="n"/>
      <c r="E18" s="46">
        <f>IF(A18="","",IFERROR(INDIRECT("'"&amp;A18&amp;"'!H3"),""))</f>
        <v/>
      </c>
      <c r="F18" s="46">
        <f>IF(A18="","",IFERROR(INDIRECT("'"&amp;A18&amp;"'!L3"),""))</f>
        <v/>
      </c>
      <c r="G18" s="46" t="n"/>
      <c r="H18" s="46" t="n"/>
      <c r="I18" s="45" t="n"/>
      <c r="J18" s="45" t="n"/>
      <c r="K18" s="45" t="n"/>
    </row>
    <row r="19">
      <c r="A19" s="45" t="n"/>
      <c r="B19" s="45">
        <f>IF(A19="","",IFERROR(INDIRECT("'"&amp;A19&amp;"'!J3"),""))</f>
        <v/>
      </c>
      <c r="C19" s="47">
        <f>IF(A19="","",IFERROR(INDEX(INDIRECT("'"&amp;A19&amp;"'!A6:A200"),MATCH(TRUE,INDEX(INDIRECT("'"&amp;A19&amp;"'!A6:A200")&lt;&gt;"",0),0)),""))</f>
        <v/>
      </c>
      <c r="D19" s="47" t="n"/>
      <c r="E19" s="46">
        <f>IF(A19="","",IFERROR(INDIRECT("'"&amp;A19&amp;"'!H3"),""))</f>
        <v/>
      </c>
      <c r="F19" s="46">
        <f>IF(A19="","",IFERROR(INDIRECT("'"&amp;A19&amp;"'!L3"),""))</f>
        <v/>
      </c>
      <c r="G19" s="46" t="n"/>
      <c r="H19" s="46" t="n"/>
      <c r="I19" s="45" t="n"/>
      <c r="J19" s="45" t="n"/>
      <c r="K19" s="45" t="n"/>
    </row>
    <row r="20">
      <c r="A20" s="45" t="n"/>
      <c r="B20" s="45">
        <f>IF(A20="","",IFERROR(INDIRECT("'"&amp;A20&amp;"'!J3"),""))</f>
        <v/>
      </c>
      <c r="C20" s="47">
        <f>IF(A20="","",IFERROR(INDEX(INDIRECT("'"&amp;A20&amp;"'!A6:A200"),MATCH(TRUE,INDEX(INDIRECT("'"&amp;A20&amp;"'!A6:A200")&lt;&gt;"",0),0)),""))</f>
        <v/>
      </c>
      <c r="D20" s="47" t="n"/>
      <c r="E20" s="46">
        <f>IF(A20="","",IFERROR(INDIRECT("'"&amp;A20&amp;"'!H3"),""))</f>
        <v/>
      </c>
      <c r="F20" s="46">
        <f>IF(A20="","",IFERROR(INDIRECT("'"&amp;A20&amp;"'!L3"),""))</f>
        <v/>
      </c>
      <c r="G20" s="46" t="n"/>
      <c r="H20" s="46" t="n"/>
      <c r="I20" s="45" t="n"/>
      <c r="J20" s="45" t="n"/>
      <c r="K20" s="45" t="n"/>
    </row>
    <row r="21">
      <c r="A21" s="45" t="n"/>
      <c r="B21" s="45">
        <f>IF(A21="","",IFERROR(INDIRECT("'"&amp;A21&amp;"'!J3"),""))</f>
        <v/>
      </c>
      <c r="C21" s="47">
        <f>IF(A21="","",IFERROR(INDEX(INDIRECT("'"&amp;A21&amp;"'!A6:A200"),MATCH(TRUE,INDEX(INDIRECT("'"&amp;A21&amp;"'!A6:A200")&lt;&gt;"",0),0)),""))</f>
        <v/>
      </c>
      <c r="D21" s="47" t="n"/>
      <c r="E21" s="46">
        <f>IF(A21="","",IFERROR(INDIRECT("'"&amp;A21&amp;"'!H3"),""))</f>
        <v/>
      </c>
      <c r="F21" s="46">
        <f>IF(A21="","",IFERROR(INDIRECT("'"&amp;A21&amp;"'!L3"),""))</f>
        <v/>
      </c>
      <c r="G21" s="46" t="n"/>
      <c r="H21" s="46" t="n"/>
      <c r="I21" s="45" t="n"/>
      <c r="J21" s="45" t="n"/>
      <c r="K21" s="45" t="n"/>
    </row>
    <row r="22">
      <c r="A22" s="45" t="n"/>
      <c r="B22" s="45">
        <f>IF(A22="","",IFERROR(INDIRECT("'"&amp;A22&amp;"'!J3"),""))</f>
        <v/>
      </c>
      <c r="C22" s="47">
        <f>IF(A22="","",IFERROR(INDEX(INDIRECT("'"&amp;A22&amp;"'!A6:A200"),MATCH(TRUE,INDEX(INDIRECT("'"&amp;A22&amp;"'!A6:A200")&lt;&gt;"",0),0)),""))</f>
        <v/>
      </c>
      <c r="D22" s="47" t="n"/>
      <c r="E22" s="46">
        <f>IF(A22="","",IFERROR(INDIRECT("'"&amp;A22&amp;"'!H3"),""))</f>
        <v/>
      </c>
      <c r="F22" s="46">
        <f>IF(A22="","",IFERROR(INDIRECT("'"&amp;A22&amp;"'!L3"),""))</f>
        <v/>
      </c>
      <c r="G22" s="46" t="n"/>
      <c r="H22" s="46" t="n"/>
      <c r="I22" s="45" t="n"/>
      <c r="J22" s="45" t="n"/>
      <c r="K22" s="45" t="n"/>
    </row>
    <row r="23">
      <c r="A23" s="45" t="n"/>
      <c r="B23" s="45">
        <f>IF(A23="","",IFERROR(INDIRECT("'"&amp;A23&amp;"'!J3"),""))</f>
        <v/>
      </c>
      <c r="C23" s="47">
        <f>IF(A23="","",IFERROR(INDEX(INDIRECT("'"&amp;A23&amp;"'!A6:A200"),MATCH(TRUE,INDEX(INDIRECT("'"&amp;A23&amp;"'!A6:A200")&lt;&gt;"",0),0)),""))</f>
        <v/>
      </c>
      <c r="D23" s="47" t="n"/>
      <c r="E23" s="46">
        <f>IF(A23="","",IFERROR(INDIRECT("'"&amp;A23&amp;"'!H3"),""))</f>
        <v/>
      </c>
      <c r="F23" s="46">
        <f>IF(A23="","",IFERROR(INDIRECT("'"&amp;A23&amp;"'!L3"),""))</f>
        <v/>
      </c>
      <c r="G23" s="46" t="n"/>
      <c r="H23" s="46" t="n"/>
      <c r="I23" s="45" t="n"/>
      <c r="J23" s="45" t="n"/>
      <c r="K23" s="45" t="n"/>
    </row>
    <row r="24">
      <c r="A24" s="45" t="n"/>
      <c r="B24" s="45">
        <f>IF(A24="","",IFERROR(INDIRECT("'"&amp;A24&amp;"'!J3"),""))</f>
        <v/>
      </c>
      <c r="C24" s="47">
        <f>IF(A24="","",IFERROR(INDEX(INDIRECT("'"&amp;A24&amp;"'!A6:A200"),MATCH(TRUE,INDEX(INDIRECT("'"&amp;A24&amp;"'!A6:A200")&lt;&gt;"",0),0)),""))</f>
        <v/>
      </c>
      <c r="D24" s="47" t="n"/>
      <c r="E24" s="46">
        <f>IF(A24="","",IFERROR(INDIRECT("'"&amp;A24&amp;"'!H3"),""))</f>
        <v/>
      </c>
      <c r="F24" s="46">
        <f>IF(A24="","",IFERROR(INDIRECT("'"&amp;A24&amp;"'!L3"),""))</f>
        <v/>
      </c>
      <c r="G24" s="46" t="n"/>
      <c r="H24" s="46" t="n"/>
      <c r="I24" s="45" t="n"/>
      <c r="J24" s="45" t="n"/>
      <c r="K24" s="45" t="n"/>
    </row>
    <row r="25">
      <c r="A25" s="45" t="n"/>
      <c r="B25" s="45">
        <f>IF(A25="","",IFERROR(INDIRECT("'"&amp;A25&amp;"'!J3"),""))</f>
        <v/>
      </c>
      <c r="C25" s="47">
        <f>IF(A25="","",IFERROR(INDEX(INDIRECT("'"&amp;A25&amp;"'!A6:A200"),MATCH(TRUE,INDEX(INDIRECT("'"&amp;A25&amp;"'!A6:A200")&lt;&gt;"",0),0)),""))</f>
        <v/>
      </c>
      <c r="D25" s="47" t="n"/>
      <c r="E25" s="46">
        <f>IF(A25="","",IFERROR(INDIRECT("'"&amp;A25&amp;"'!H3"),""))</f>
        <v/>
      </c>
      <c r="F25" s="46">
        <f>IF(A25="","",IFERROR(INDIRECT("'"&amp;A25&amp;"'!L3"),""))</f>
        <v/>
      </c>
      <c r="G25" s="46" t="n"/>
      <c r="H25" s="46" t="n"/>
      <c r="I25" s="45" t="n"/>
      <c r="J25" s="45" t="n"/>
      <c r="K25" s="45" t="n"/>
    </row>
    <row r="26">
      <c r="A26" s="45" t="n"/>
      <c r="B26" s="45">
        <f>IF(A26="","",IFERROR(INDIRECT("'"&amp;A26&amp;"'!J3"),""))</f>
        <v/>
      </c>
      <c r="C26" s="47">
        <f>IF(A26="","",IFERROR(INDEX(INDIRECT("'"&amp;A26&amp;"'!A6:A200"),MATCH(TRUE,INDEX(INDIRECT("'"&amp;A26&amp;"'!A6:A200")&lt;&gt;"",0),0)),""))</f>
        <v/>
      </c>
      <c r="D26" s="47" t="n"/>
      <c r="E26" s="46">
        <f>IF(A26="","",IFERROR(INDIRECT("'"&amp;A26&amp;"'!H3"),""))</f>
        <v/>
      </c>
      <c r="F26" s="46">
        <f>IF(A26="","",IFERROR(INDIRECT("'"&amp;A26&amp;"'!L3"),""))</f>
        <v/>
      </c>
      <c r="G26" s="46" t="n"/>
      <c r="H26" s="46" t="n"/>
      <c r="I26" s="45" t="n"/>
      <c r="J26" s="45" t="n"/>
      <c r="K26" s="45" t="n"/>
    </row>
    <row r="27">
      <c r="A27" s="45" t="n"/>
      <c r="B27" s="45">
        <f>IF(A27="","",IFERROR(INDIRECT("'"&amp;A27&amp;"'!J3"),""))</f>
        <v/>
      </c>
      <c r="C27" s="47">
        <f>IF(A27="","",IFERROR(INDEX(INDIRECT("'"&amp;A27&amp;"'!A6:A200"),MATCH(TRUE,INDEX(INDIRECT("'"&amp;A27&amp;"'!A6:A200")&lt;&gt;"",0),0)),""))</f>
        <v/>
      </c>
      <c r="D27" s="47" t="n"/>
      <c r="E27" s="46">
        <f>IF(A27="","",IFERROR(INDIRECT("'"&amp;A27&amp;"'!H3"),""))</f>
        <v/>
      </c>
      <c r="F27" s="46">
        <f>IF(A27="","",IFERROR(INDIRECT("'"&amp;A27&amp;"'!L3"),""))</f>
        <v/>
      </c>
      <c r="G27" s="46" t="n"/>
      <c r="H27" s="46" t="n"/>
      <c r="I27" s="45" t="n"/>
      <c r="J27" s="45" t="n"/>
      <c r="K27" s="45" t="n"/>
    </row>
    <row r="28">
      <c r="A28" s="45" t="n"/>
      <c r="B28" s="45">
        <f>IF(A28="","",IFERROR(INDIRECT("'"&amp;A28&amp;"'!J3"),""))</f>
        <v/>
      </c>
      <c r="C28" s="47">
        <f>IF(A28="","",IFERROR(INDEX(INDIRECT("'"&amp;A28&amp;"'!A6:A200"),MATCH(TRUE,INDEX(INDIRECT("'"&amp;A28&amp;"'!A6:A200")&lt;&gt;"",0),0)),""))</f>
        <v/>
      </c>
      <c r="D28" s="47" t="n"/>
      <c r="E28" s="46">
        <f>IF(A28="","",IFERROR(INDIRECT("'"&amp;A28&amp;"'!H3"),""))</f>
        <v/>
      </c>
      <c r="F28" s="46">
        <f>IF(A28="","",IFERROR(INDIRECT("'"&amp;A28&amp;"'!L3"),""))</f>
        <v/>
      </c>
      <c r="G28" s="46" t="n"/>
      <c r="H28" s="46" t="n"/>
      <c r="I28" s="45" t="n"/>
      <c r="J28" s="45" t="n"/>
      <c r="K28" s="45" t="n"/>
    </row>
    <row r="29">
      <c r="A29" s="45" t="n"/>
      <c r="B29" s="45">
        <f>IF(A29="","",IFERROR(INDIRECT("'"&amp;A29&amp;"'!J3"),""))</f>
        <v/>
      </c>
      <c r="C29" s="47">
        <f>IF(A29="","",IFERROR(INDEX(INDIRECT("'"&amp;A29&amp;"'!A6:A200"),MATCH(TRUE,INDEX(INDIRECT("'"&amp;A29&amp;"'!A6:A200")&lt;&gt;"",0),0)),""))</f>
        <v/>
      </c>
      <c r="D29" s="47" t="n"/>
      <c r="E29" s="46">
        <f>IF(A29="","",IFERROR(INDIRECT("'"&amp;A29&amp;"'!H3"),""))</f>
        <v/>
      </c>
      <c r="F29" s="46">
        <f>IF(A29="","",IFERROR(INDIRECT("'"&amp;A29&amp;"'!L3"),""))</f>
        <v/>
      </c>
      <c r="G29" s="46" t="n"/>
      <c r="H29" s="46" t="n"/>
      <c r="I29" s="45" t="n"/>
      <c r="J29" s="45" t="n"/>
      <c r="K29" s="45" t="n"/>
    </row>
    <row r="30">
      <c r="A30" s="45" t="n"/>
      <c r="B30" s="45">
        <f>IF(A30="","",IFERROR(INDIRECT("'"&amp;A30&amp;"'!J3"),""))</f>
        <v/>
      </c>
      <c r="C30" s="47">
        <f>IF(A30="","",IFERROR(INDEX(INDIRECT("'"&amp;A30&amp;"'!A6:A200"),MATCH(TRUE,INDEX(INDIRECT("'"&amp;A30&amp;"'!A6:A200")&lt;&gt;"",0),0)),""))</f>
        <v/>
      </c>
      <c r="D30" s="47" t="n"/>
      <c r="E30" s="46">
        <f>IF(A30="","",IFERROR(INDIRECT("'"&amp;A30&amp;"'!H3"),""))</f>
        <v/>
      </c>
      <c r="F30" s="46">
        <f>IF(A30="","",IFERROR(INDIRECT("'"&amp;A30&amp;"'!L3"),""))</f>
        <v/>
      </c>
      <c r="G30" s="46" t="n"/>
      <c r="H30" s="46" t="n"/>
      <c r="I30" s="45" t="n"/>
      <c r="J30" s="45" t="n"/>
      <c r="K30" s="45" t="n"/>
    </row>
    <row r="31">
      <c r="A31" s="45" t="n"/>
      <c r="B31" s="45">
        <f>IF(A31="","",IFERROR(INDIRECT("'"&amp;A31&amp;"'!J3"),""))</f>
        <v/>
      </c>
      <c r="C31" s="47">
        <f>IF(A31="","",IFERROR(INDEX(INDIRECT("'"&amp;A31&amp;"'!A6:A200"),MATCH(TRUE,INDEX(INDIRECT("'"&amp;A31&amp;"'!A6:A200")&lt;&gt;"",0),0)),""))</f>
        <v/>
      </c>
      <c r="D31" s="47" t="n"/>
      <c r="E31" s="46">
        <f>IF(A31="","",IFERROR(INDIRECT("'"&amp;A31&amp;"'!H3"),""))</f>
        <v/>
      </c>
      <c r="F31" s="46">
        <f>IF(A31="","",IFERROR(INDIRECT("'"&amp;A31&amp;"'!L3"),""))</f>
        <v/>
      </c>
      <c r="G31" s="46" t="n"/>
      <c r="H31" s="46" t="n"/>
      <c r="I31" s="45" t="n"/>
      <c r="J31" s="45" t="n"/>
      <c r="K31" s="45" t="n"/>
    </row>
    <row r="32">
      <c r="A32" s="45" t="n"/>
      <c r="B32" s="45">
        <f>IF(A32="","",IFERROR(INDIRECT("'"&amp;A32&amp;"'!J3"),""))</f>
        <v/>
      </c>
      <c r="C32" s="47">
        <f>IF(A32="","",IFERROR(INDEX(INDIRECT("'"&amp;A32&amp;"'!A6:A200"),MATCH(TRUE,INDEX(INDIRECT("'"&amp;A32&amp;"'!A6:A200")&lt;&gt;"",0),0)),""))</f>
        <v/>
      </c>
      <c r="D32" s="47" t="n"/>
      <c r="E32" s="46">
        <f>IF(A32="","",IFERROR(INDIRECT("'"&amp;A32&amp;"'!H3"),""))</f>
        <v/>
      </c>
      <c r="F32" s="46">
        <f>IF(A32="","",IFERROR(INDIRECT("'"&amp;A32&amp;"'!L3"),""))</f>
        <v/>
      </c>
      <c r="G32" s="46" t="n"/>
      <c r="H32" s="46" t="n"/>
      <c r="I32" s="45" t="n"/>
      <c r="J32" s="45" t="n"/>
      <c r="K32" s="45" t="n"/>
    </row>
    <row r="33">
      <c r="A33" s="45" t="n"/>
      <c r="B33" s="45">
        <f>IF(A33="","",IFERROR(INDIRECT("'"&amp;A33&amp;"'!J3"),""))</f>
        <v/>
      </c>
      <c r="C33" s="47">
        <f>IF(A33="","",IFERROR(INDEX(INDIRECT("'"&amp;A33&amp;"'!A6:A200"),MATCH(TRUE,INDEX(INDIRECT("'"&amp;A33&amp;"'!A6:A200")&lt;&gt;"",0),0)),""))</f>
        <v/>
      </c>
      <c r="D33" s="47" t="n"/>
      <c r="E33" s="46">
        <f>IF(A33="","",IFERROR(INDIRECT("'"&amp;A33&amp;"'!H3"),""))</f>
        <v/>
      </c>
      <c r="F33" s="46">
        <f>IF(A33="","",IFERROR(INDIRECT("'"&amp;A33&amp;"'!L3"),""))</f>
        <v/>
      </c>
      <c r="G33" s="46" t="n"/>
      <c r="H33" s="46" t="n"/>
      <c r="I33" s="45" t="n"/>
      <c r="J33" s="45" t="n"/>
      <c r="K33" s="45" t="n"/>
    </row>
    <row r="34">
      <c r="A34" s="45" t="n"/>
      <c r="B34" s="45">
        <f>IF(A34="","",IFERROR(INDIRECT("'"&amp;A34&amp;"'!J3"),""))</f>
        <v/>
      </c>
      <c r="C34" s="47">
        <f>IF(A34="","",IFERROR(INDEX(INDIRECT("'"&amp;A34&amp;"'!A6:A200"),MATCH(TRUE,INDEX(INDIRECT("'"&amp;A34&amp;"'!A6:A200")&lt;&gt;"",0),0)),""))</f>
        <v/>
      </c>
      <c r="D34" s="47" t="n"/>
      <c r="E34" s="46">
        <f>IF(A34="","",IFERROR(INDIRECT("'"&amp;A34&amp;"'!H3"),""))</f>
        <v/>
      </c>
      <c r="F34" s="46">
        <f>IF(A34="","",IFERROR(INDIRECT("'"&amp;A34&amp;"'!L3"),""))</f>
        <v/>
      </c>
      <c r="G34" s="46" t="n"/>
      <c r="H34" s="46" t="n"/>
      <c r="I34" s="45" t="n"/>
      <c r="J34" s="45" t="n"/>
      <c r="K34" s="45" t="n"/>
    </row>
    <row r="35">
      <c r="A35" s="45" t="n"/>
      <c r="B35" s="45">
        <f>IF(A35="","",IFERROR(INDIRECT("'"&amp;A35&amp;"'!J3"),""))</f>
        <v/>
      </c>
      <c r="C35" s="47">
        <f>IF(A35="","",IFERROR(INDEX(INDIRECT("'"&amp;A35&amp;"'!A6:A200"),MATCH(TRUE,INDEX(INDIRECT("'"&amp;A35&amp;"'!A6:A200")&lt;&gt;"",0),0)),""))</f>
        <v/>
      </c>
      <c r="D35" s="47" t="n"/>
      <c r="E35" s="46">
        <f>IF(A35="","",IFERROR(INDIRECT("'"&amp;A35&amp;"'!H3"),""))</f>
        <v/>
      </c>
      <c r="F35" s="46">
        <f>IF(A35="","",IFERROR(INDIRECT("'"&amp;A35&amp;"'!L3"),""))</f>
        <v/>
      </c>
      <c r="G35" s="46" t="n"/>
      <c r="H35" s="46" t="n"/>
      <c r="I35" s="45" t="n"/>
      <c r="J35" s="45" t="n"/>
      <c r="K35" s="45" t="n"/>
    </row>
    <row r="36">
      <c r="A36" s="72" t="inlineStr">
        <is>
          <t>EVICTION / UNPAID ARREARS: Set Reason = Eviction. Set Arrears Outcome = Written off (or Still pursuing). Final Balance = amount left unpaid. Notes = notice date, lock date, deposit applied, and whether you will pursue further. Then clear the unit sheet so the next tenant starts at 0.</t>
        </is>
      </c>
    </row>
    <row r="37">
      <c r="A37" s="71" t="inlineStr">
        <is>
          <t>DETAILED TRANSACTION HISTORY (paste full ledger rows here when a tenant leaves)</t>
        </is>
      </c>
    </row>
    <row r="38">
      <c r="A38" s="69" t="inlineStr">
        <is>
          <t>Include Unit and Tenant Name on every row so you can filter later. Copy Date, Month, Description, Rent, Garbage, Payment, M-Pesa Ref, Running Balance, Remarks from the unit sheet.</t>
        </is>
      </c>
    </row>
    <row r="39" ht="26.25" customHeight="1" s="62">
      <c r="A39" s="44" t="inlineStr">
        <is>
          <t>Unit</t>
        </is>
      </c>
      <c r="B39" s="44" t="inlineStr">
        <is>
          <t>Tenant Name</t>
        </is>
      </c>
      <c r="C39" s="44" t="inlineStr">
        <is>
          <t>Date</t>
        </is>
      </c>
      <c r="D39" s="44" t="inlineStr">
        <is>
          <t>Month</t>
        </is>
      </c>
      <c r="E39" s="44" t="inlineStr">
        <is>
          <t>Description</t>
        </is>
      </c>
      <c r="F39" s="44" t="inlineStr">
        <is>
          <t>Rent Charged</t>
        </is>
      </c>
      <c r="G39" s="44" t="inlineStr">
        <is>
          <t>Garbage Charged</t>
        </is>
      </c>
      <c r="H39" s="44" t="inlineStr">
        <is>
          <t>Payment Received</t>
        </is>
      </c>
      <c r="I39" s="44" t="inlineStr">
        <is>
          <t>M-Pesa Reference</t>
        </is>
      </c>
      <c r="J39" s="44" t="inlineStr">
        <is>
          <t>Running Balance</t>
        </is>
      </c>
      <c r="K39" s="44" t="inlineStr">
        <is>
          <t>Remarks</t>
        </is>
      </c>
      <c r="L39" s="44" t="inlineStr">
        <is>
          <t>Archived On</t>
        </is>
      </c>
    </row>
    <row r="40">
      <c r="A40" s="45" t="n"/>
      <c r="B40" s="45" t="n"/>
      <c r="C40" s="47" t="n"/>
      <c r="D40" s="45" t="n"/>
      <c r="E40" s="45" t="n"/>
      <c r="F40" s="46" t="n"/>
      <c r="G40" s="46" t="n"/>
      <c r="H40" s="46" t="n"/>
      <c r="I40" s="45" t="n"/>
      <c r="J40" s="46" t="n"/>
      <c r="K40" s="45" t="n"/>
      <c r="L40" s="47" t="n"/>
    </row>
    <row r="41">
      <c r="A41" s="45" t="n"/>
      <c r="B41" s="45" t="n"/>
      <c r="C41" s="47" t="n"/>
      <c r="D41" s="45" t="n"/>
      <c r="E41" s="45" t="n"/>
      <c r="F41" s="46" t="n"/>
      <c r="G41" s="46" t="n"/>
      <c r="H41" s="46" t="n"/>
      <c r="I41" s="45" t="n"/>
      <c r="J41" s="46" t="n"/>
      <c r="K41" s="45" t="n"/>
      <c r="L41" s="47" t="n"/>
    </row>
    <row r="42">
      <c r="A42" s="45" t="n"/>
      <c r="B42" s="45" t="n"/>
      <c r="C42" s="47" t="n"/>
      <c r="D42" s="45" t="n"/>
      <c r="E42" s="45" t="n"/>
      <c r="F42" s="46" t="n"/>
      <c r="G42" s="46" t="n"/>
      <c r="H42" s="46" t="n"/>
      <c r="I42" s="45" t="n"/>
      <c r="J42" s="46" t="n"/>
      <c r="K42" s="45" t="n"/>
      <c r="L42" s="47" t="n"/>
    </row>
    <row r="43">
      <c r="A43" s="45" t="n"/>
      <c r="B43" s="45" t="n"/>
      <c r="C43" s="47" t="n"/>
      <c r="D43" s="45" t="n"/>
      <c r="E43" s="45" t="n"/>
      <c r="F43" s="46" t="n"/>
      <c r="G43" s="46" t="n"/>
      <c r="H43" s="46" t="n"/>
      <c r="I43" s="45" t="n"/>
      <c r="J43" s="46" t="n"/>
      <c r="K43" s="45" t="n"/>
      <c r="L43" s="47" t="n"/>
    </row>
    <row r="44">
      <c r="A44" s="45" t="n"/>
      <c r="B44" s="45" t="n"/>
      <c r="C44" s="47" t="n"/>
      <c r="D44" s="45" t="n"/>
      <c r="E44" s="45" t="n"/>
      <c r="F44" s="46" t="n"/>
      <c r="G44" s="46" t="n"/>
      <c r="H44" s="46" t="n"/>
      <c r="I44" s="45" t="n"/>
      <c r="J44" s="46" t="n"/>
      <c r="K44" s="45" t="n"/>
      <c r="L44" s="47" t="n"/>
    </row>
    <row r="45">
      <c r="A45" s="45" t="n"/>
      <c r="B45" s="45" t="n"/>
      <c r="C45" s="47" t="n"/>
      <c r="D45" s="45" t="n"/>
      <c r="E45" s="45" t="n"/>
      <c r="F45" s="46" t="n"/>
      <c r="G45" s="46" t="n"/>
      <c r="H45" s="46" t="n"/>
      <c r="I45" s="45" t="n"/>
      <c r="J45" s="46" t="n"/>
      <c r="K45" s="45" t="n"/>
      <c r="L45" s="47" t="n"/>
    </row>
    <row r="46">
      <c r="A46" s="45" t="n"/>
      <c r="B46" s="45" t="n"/>
      <c r="C46" s="47" t="n"/>
      <c r="D46" s="45" t="n"/>
      <c r="E46" s="45" t="n"/>
      <c r="F46" s="46" t="n"/>
      <c r="G46" s="46" t="n"/>
      <c r="H46" s="46" t="n"/>
      <c r="I46" s="45" t="n"/>
      <c r="J46" s="46" t="n"/>
      <c r="K46" s="45" t="n"/>
      <c r="L46" s="47" t="n"/>
    </row>
    <row r="47">
      <c r="A47" s="45" t="n"/>
      <c r="B47" s="45" t="n"/>
      <c r="C47" s="47" t="n"/>
      <c r="D47" s="45" t="n"/>
      <c r="E47" s="45" t="n"/>
      <c r="F47" s="46" t="n"/>
      <c r="G47" s="46" t="n"/>
      <c r="H47" s="46" t="n"/>
      <c r="I47" s="45" t="n"/>
      <c r="J47" s="46" t="n"/>
      <c r="K47" s="45" t="n"/>
      <c r="L47" s="47" t="n"/>
    </row>
    <row r="48">
      <c r="A48" s="45" t="n"/>
      <c r="B48" s="45" t="n"/>
      <c r="C48" s="47" t="n"/>
      <c r="D48" s="45" t="n"/>
      <c r="E48" s="45" t="n"/>
      <c r="F48" s="46" t="n"/>
      <c r="G48" s="46" t="n"/>
      <c r="H48" s="46" t="n"/>
      <c r="I48" s="45" t="n"/>
      <c r="J48" s="46" t="n"/>
      <c r="K48" s="45" t="n"/>
      <c r="L48" s="47" t="n"/>
    </row>
    <row r="49">
      <c r="A49" s="45" t="n"/>
      <c r="B49" s="45" t="n"/>
      <c r="C49" s="47" t="n"/>
      <c r="D49" s="45" t="n"/>
      <c r="E49" s="45" t="n"/>
      <c r="F49" s="46" t="n"/>
      <c r="G49" s="46" t="n"/>
      <c r="H49" s="46" t="n"/>
      <c r="I49" s="45" t="n"/>
      <c r="J49" s="46" t="n"/>
      <c r="K49" s="45" t="n"/>
      <c r="L49" s="47" t="n"/>
    </row>
    <row r="50">
      <c r="A50" s="45" t="n"/>
      <c r="B50" s="45" t="n"/>
      <c r="C50" s="47" t="n"/>
      <c r="D50" s="45" t="n"/>
      <c r="E50" s="45" t="n"/>
      <c r="F50" s="46" t="n"/>
      <c r="G50" s="46" t="n"/>
      <c r="H50" s="46" t="n"/>
      <c r="I50" s="45" t="n"/>
      <c r="J50" s="46" t="n"/>
      <c r="K50" s="45" t="n"/>
      <c r="L50" s="47" t="n"/>
    </row>
    <row r="51">
      <c r="A51" s="45" t="n"/>
      <c r="B51" s="45" t="n"/>
      <c r="C51" s="47" t="n"/>
      <c r="D51" s="45" t="n"/>
      <c r="E51" s="45" t="n"/>
      <c r="F51" s="46" t="n"/>
      <c r="G51" s="46" t="n"/>
      <c r="H51" s="46" t="n"/>
      <c r="I51" s="45" t="n"/>
      <c r="J51" s="46" t="n"/>
      <c r="K51" s="45" t="n"/>
      <c r="L51" s="47" t="n"/>
    </row>
    <row r="52">
      <c r="A52" s="45" t="n"/>
      <c r="B52" s="45" t="n"/>
      <c r="C52" s="47" t="n"/>
      <c r="D52" s="45" t="n"/>
      <c r="E52" s="45" t="n"/>
      <c r="F52" s="46" t="n"/>
      <c r="G52" s="46" t="n"/>
      <c r="H52" s="46" t="n"/>
      <c r="I52" s="45" t="n"/>
      <c r="J52" s="46" t="n"/>
      <c r="K52" s="45" t="n"/>
      <c r="L52" s="47" t="n"/>
    </row>
    <row r="53">
      <c r="A53" s="45" t="n"/>
      <c r="B53" s="45" t="n"/>
      <c r="C53" s="47" t="n"/>
      <c r="D53" s="45" t="n"/>
      <c r="E53" s="45" t="n"/>
      <c r="F53" s="46" t="n"/>
      <c r="G53" s="46" t="n"/>
      <c r="H53" s="46" t="n"/>
      <c r="I53" s="45" t="n"/>
      <c r="J53" s="46" t="n"/>
      <c r="K53" s="45" t="n"/>
      <c r="L53" s="47" t="n"/>
    </row>
    <row r="54">
      <c r="A54" s="45" t="n"/>
      <c r="B54" s="45" t="n"/>
      <c r="C54" s="47" t="n"/>
      <c r="D54" s="45" t="n"/>
      <c r="E54" s="45" t="n"/>
      <c r="F54" s="46" t="n"/>
      <c r="G54" s="46" t="n"/>
      <c r="H54" s="46" t="n"/>
      <c r="I54" s="45" t="n"/>
      <c r="J54" s="46" t="n"/>
      <c r="K54" s="45" t="n"/>
      <c r="L54" s="47" t="n"/>
    </row>
    <row r="55">
      <c r="A55" s="45" t="n"/>
      <c r="B55" s="45" t="n"/>
      <c r="C55" s="47" t="n"/>
      <c r="D55" s="45" t="n"/>
      <c r="E55" s="45" t="n"/>
      <c r="F55" s="46" t="n"/>
      <c r="G55" s="46" t="n"/>
      <c r="H55" s="46" t="n"/>
      <c r="I55" s="45" t="n"/>
      <c r="J55" s="46" t="n"/>
      <c r="K55" s="45" t="n"/>
      <c r="L55" s="47" t="n"/>
    </row>
    <row r="56">
      <c r="A56" s="45" t="n"/>
      <c r="B56" s="45" t="n"/>
      <c r="C56" s="47" t="n"/>
      <c r="D56" s="45" t="n"/>
      <c r="E56" s="45" t="n"/>
      <c r="F56" s="46" t="n"/>
      <c r="G56" s="46" t="n"/>
      <c r="H56" s="46" t="n"/>
      <c r="I56" s="45" t="n"/>
      <c r="J56" s="46" t="n"/>
      <c r="K56" s="45" t="n"/>
      <c r="L56" s="47" t="n"/>
    </row>
    <row r="57">
      <c r="A57" s="45" t="n"/>
      <c r="B57" s="45" t="n"/>
      <c r="C57" s="47" t="n"/>
      <c r="D57" s="45" t="n"/>
      <c r="E57" s="45" t="n"/>
      <c r="F57" s="46" t="n"/>
      <c r="G57" s="46" t="n"/>
      <c r="H57" s="46" t="n"/>
      <c r="I57" s="45" t="n"/>
      <c r="J57" s="46" t="n"/>
      <c r="K57" s="45" t="n"/>
      <c r="L57" s="47" t="n"/>
    </row>
    <row r="58">
      <c r="A58" s="45" t="n"/>
      <c r="B58" s="45" t="n"/>
      <c r="C58" s="47" t="n"/>
      <c r="D58" s="45" t="n"/>
      <c r="E58" s="45" t="n"/>
      <c r="F58" s="46" t="n"/>
      <c r="G58" s="46" t="n"/>
      <c r="H58" s="46" t="n"/>
      <c r="I58" s="45" t="n"/>
      <c r="J58" s="46" t="n"/>
      <c r="K58" s="45" t="n"/>
      <c r="L58" s="47" t="n"/>
    </row>
    <row r="59">
      <c r="A59" s="45" t="n"/>
      <c r="B59" s="45" t="n"/>
      <c r="C59" s="47" t="n"/>
      <c r="D59" s="45" t="n"/>
      <c r="E59" s="45" t="n"/>
      <c r="F59" s="46" t="n"/>
      <c r="G59" s="46" t="n"/>
      <c r="H59" s="46" t="n"/>
      <c r="I59" s="45" t="n"/>
      <c r="J59" s="46" t="n"/>
      <c r="K59" s="45" t="n"/>
      <c r="L59" s="47" t="n"/>
    </row>
    <row r="60">
      <c r="A60" s="45" t="n"/>
      <c r="B60" s="45" t="n"/>
      <c r="C60" s="47" t="n"/>
      <c r="D60" s="45" t="n"/>
      <c r="E60" s="45" t="n"/>
      <c r="F60" s="46" t="n"/>
      <c r="G60" s="46" t="n"/>
      <c r="H60" s="46" t="n"/>
      <c r="I60" s="45" t="n"/>
      <c r="J60" s="46" t="n"/>
      <c r="K60" s="45" t="n"/>
      <c r="L60" s="47" t="n"/>
    </row>
    <row r="61">
      <c r="A61" s="45" t="n"/>
      <c r="B61" s="45" t="n"/>
      <c r="C61" s="47" t="n"/>
      <c r="D61" s="45" t="n"/>
      <c r="E61" s="45" t="n"/>
      <c r="F61" s="46" t="n"/>
      <c r="G61" s="46" t="n"/>
      <c r="H61" s="46" t="n"/>
      <c r="I61" s="45" t="n"/>
      <c r="J61" s="46" t="n"/>
      <c r="K61" s="45" t="n"/>
      <c r="L61" s="47" t="n"/>
    </row>
    <row r="62">
      <c r="A62" s="45" t="n"/>
      <c r="B62" s="45" t="n"/>
      <c r="C62" s="47" t="n"/>
      <c r="D62" s="45" t="n"/>
      <c r="E62" s="45" t="n"/>
      <c r="F62" s="46" t="n"/>
      <c r="G62" s="46" t="n"/>
      <c r="H62" s="46" t="n"/>
      <c r="I62" s="45" t="n"/>
      <c r="J62" s="46" t="n"/>
      <c r="K62" s="45" t="n"/>
      <c r="L62" s="47" t="n"/>
    </row>
    <row r="63">
      <c r="A63" s="45" t="n"/>
      <c r="B63" s="45" t="n"/>
      <c r="C63" s="47" t="n"/>
      <c r="D63" s="45" t="n"/>
      <c r="E63" s="45" t="n"/>
      <c r="F63" s="46" t="n"/>
      <c r="G63" s="46" t="n"/>
      <c r="H63" s="46" t="n"/>
      <c r="I63" s="45" t="n"/>
      <c r="J63" s="46" t="n"/>
      <c r="K63" s="45" t="n"/>
      <c r="L63" s="47" t="n"/>
    </row>
    <row r="64">
      <c r="A64" s="45" t="n"/>
      <c r="B64" s="45" t="n"/>
      <c r="C64" s="47" t="n"/>
      <c r="D64" s="45" t="n"/>
      <c r="E64" s="45" t="n"/>
      <c r="F64" s="46" t="n"/>
      <c r="G64" s="46" t="n"/>
      <c r="H64" s="46" t="n"/>
      <c r="I64" s="45" t="n"/>
      <c r="J64" s="46" t="n"/>
      <c r="K64" s="45" t="n"/>
      <c r="L64" s="47" t="n"/>
    </row>
    <row r="65">
      <c r="A65" s="45" t="n"/>
      <c r="B65" s="45" t="n"/>
      <c r="C65" s="47" t="n"/>
      <c r="D65" s="45" t="n"/>
      <c r="E65" s="45" t="n"/>
      <c r="F65" s="46" t="n"/>
      <c r="G65" s="46" t="n"/>
      <c r="H65" s="46" t="n"/>
      <c r="I65" s="45" t="n"/>
      <c r="J65" s="46" t="n"/>
      <c r="K65" s="45" t="n"/>
      <c r="L65" s="47" t="n"/>
    </row>
    <row r="66">
      <c r="A66" s="45" t="n"/>
      <c r="B66" s="45" t="n"/>
      <c r="C66" s="47" t="n"/>
      <c r="D66" s="45" t="n"/>
      <c r="E66" s="45" t="n"/>
      <c r="F66" s="46" t="n"/>
      <c r="G66" s="46" t="n"/>
      <c r="H66" s="46" t="n"/>
      <c r="I66" s="45" t="n"/>
      <c r="J66" s="46" t="n"/>
      <c r="K66" s="45" t="n"/>
      <c r="L66" s="47" t="n"/>
    </row>
    <row r="67">
      <c r="A67" s="45" t="n"/>
      <c r="B67" s="45" t="n"/>
      <c r="C67" s="47" t="n"/>
      <c r="D67" s="45" t="n"/>
      <c r="E67" s="45" t="n"/>
      <c r="F67" s="46" t="n"/>
      <c r="G67" s="46" t="n"/>
      <c r="H67" s="46" t="n"/>
      <c r="I67" s="45" t="n"/>
      <c r="J67" s="46" t="n"/>
      <c r="K67" s="45" t="n"/>
      <c r="L67" s="47" t="n"/>
    </row>
    <row r="68">
      <c r="A68" s="45" t="n"/>
      <c r="B68" s="45" t="n"/>
      <c r="C68" s="47" t="n"/>
      <c r="D68" s="45" t="n"/>
      <c r="E68" s="45" t="n"/>
      <c r="F68" s="46" t="n"/>
      <c r="G68" s="46" t="n"/>
      <c r="H68" s="46" t="n"/>
      <c r="I68" s="45" t="n"/>
      <c r="J68" s="46" t="n"/>
      <c r="K68" s="45" t="n"/>
      <c r="L68" s="47" t="n"/>
    </row>
    <row r="69">
      <c r="A69" s="45" t="n"/>
      <c r="B69" s="45" t="n"/>
      <c r="C69" s="47" t="n"/>
      <c r="D69" s="45" t="n"/>
      <c r="E69" s="45" t="n"/>
      <c r="F69" s="46" t="n"/>
      <c r="G69" s="46" t="n"/>
      <c r="H69" s="46" t="n"/>
      <c r="I69" s="45" t="n"/>
      <c r="J69" s="46" t="n"/>
      <c r="K69" s="45" t="n"/>
      <c r="L69" s="47" t="n"/>
    </row>
    <row r="70">
      <c r="A70" s="45" t="n"/>
      <c r="B70" s="45" t="n"/>
      <c r="C70" s="47" t="n"/>
      <c r="D70" s="45" t="n"/>
      <c r="E70" s="45" t="n"/>
      <c r="F70" s="46" t="n"/>
      <c r="G70" s="46" t="n"/>
      <c r="H70" s="46" t="n"/>
      <c r="I70" s="45" t="n"/>
      <c r="J70" s="46" t="n"/>
      <c r="K70" s="45" t="n"/>
      <c r="L70" s="47" t="n"/>
    </row>
    <row r="71">
      <c r="A71" s="45" t="n"/>
      <c r="B71" s="45" t="n"/>
      <c r="C71" s="47" t="n"/>
      <c r="D71" s="45" t="n"/>
      <c r="E71" s="45" t="n"/>
      <c r="F71" s="46" t="n"/>
      <c r="G71" s="46" t="n"/>
      <c r="H71" s="46" t="n"/>
      <c r="I71" s="45" t="n"/>
      <c r="J71" s="46" t="n"/>
      <c r="K71" s="45" t="n"/>
      <c r="L71" s="47" t="n"/>
    </row>
    <row r="72">
      <c r="A72" s="45" t="n"/>
      <c r="B72" s="45" t="n"/>
      <c r="C72" s="47" t="n"/>
      <c r="D72" s="45" t="n"/>
      <c r="E72" s="45" t="n"/>
      <c r="F72" s="46" t="n"/>
      <c r="G72" s="46" t="n"/>
      <c r="H72" s="46" t="n"/>
      <c r="I72" s="45" t="n"/>
      <c r="J72" s="46" t="n"/>
      <c r="K72" s="45" t="n"/>
      <c r="L72" s="47" t="n"/>
    </row>
    <row r="73">
      <c r="A73" s="45" t="n"/>
      <c r="B73" s="45" t="n"/>
      <c r="C73" s="47" t="n"/>
      <c r="D73" s="45" t="n"/>
      <c r="E73" s="45" t="n"/>
      <c r="F73" s="46" t="n"/>
      <c r="G73" s="46" t="n"/>
      <c r="H73" s="46" t="n"/>
      <c r="I73" s="45" t="n"/>
      <c r="J73" s="46" t="n"/>
      <c r="K73" s="45" t="n"/>
      <c r="L73" s="47" t="n"/>
    </row>
    <row r="74">
      <c r="A74" s="45" t="n"/>
      <c r="B74" s="45" t="n"/>
      <c r="C74" s="47" t="n"/>
      <c r="D74" s="45" t="n"/>
      <c r="E74" s="45" t="n"/>
      <c r="F74" s="46" t="n"/>
      <c r="G74" s="46" t="n"/>
      <c r="H74" s="46" t="n"/>
      <c r="I74" s="45" t="n"/>
      <c r="J74" s="46" t="n"/>
      <c r="K74" s="45" t="n"/>
      <c r="L74" s="47" t="n"/>
    </row>
    <row r="75">
      <c r="A75" s="45" t="n"/>
      <c r="B75" s="45" t="n"/>
      <c r="C75" s="47" t="n"/>
      <c r="D75" s="45" t="n"/>
      <c r="E75" s="45" t="n"/>
      <c r="F75" s="46" t="n"/>
      <c r="G75" s="46" t="n"/>
      <c r="H75" s="46" t="n"/>
      <c r="I75" s="45" t="n"/>
      <c r="J75" s="46" t="n"/>
      <c r="K75" s="45" t="n"/>
      <c r="L75" s="47" t="n"/>
    </row>
    <row r="76">
      <c r="A76" s="45" t="n"/>
      <c r="B76" s="45" t="n"/>
      <c r="C76" s="47" t="n"/>
      <c r="D76" s="45" t="n"/>
      <c r="E76" s="45" t="n"/>
      <c r="F76" s="46" t="n"/>
      <c r="G76" s="46" t="n"/>
      <c r="H76" s="46" t="n"/>
      <c r="I76" s="45" t="n"/>
      <c r="J76" s="46" t="n"/>
      <c r="K76" s="45" t="n"/>
      <c r="L76" s="47" t="n"/>
    </row>
    <row r="77">
      <c r="A77" s="45" t="n"/>
      <c r="B77" s="45" t="n"/>
      <c r="C77" s="47" t="n"/>
      <c r="D77" s="45" t="n"/>
      <c r="E77" s="45" t="n"/>
      <c r="F77" s="46" t="n"/>
      <c r="G77" s="46" t="n"/>
      <c r="H77" s="46" t="n"/>
      <c r="I77" s="45" t="n"/>
      <c r="J77" s="46" t="n"/>
      <c r="K77" s="45" t="n"/>
      <c r="L77" s="47" t="n"/>
    </row>
    <row r="78">
      <c r="A78" s="45" t="n"/>
      <c r="B78" s="45" t="n"/>
      <c r="C78" s="47" t="n"/>
      <c r="D78" s="45" t="n"/>
      <c r="E78" s="45" t="n"/>
      <c r="F78" s="46" t="n"/>
      <c r="G78" s="46" t="n"/>
      <c r="H78" s="46" t="n"/>
      <c r="I78" s="45" t="n"/>
      <c r="J78" s="46" t="n"/>
      <c r="K78" s="45" t="n"/>
      <c r="L78" s="47" t="n"/>
    </row>
    <row r="79">
      <c r="A79" s="45" t="n"/>
      <c r="B79" s="45" t="n"/>
      <c r="C79" s="47" t="n"/>
      <c r="D79" s="45" t="n"/>
      <c r="E79" s="45" t="n"/>
      <c r="F79" s="46" t="n"/>
      <c r="G79" s="46" t="n"/>
      <c r="H79" s="46" t="n"/>
      <c r="I79" s="45" t="n"/>
      <c r="J79" s="46" t="n"/>
      <c r="K79" s="45" t="n"/>
      <c r="L79" s="47" t="n"/>
    </row>
    <row r="80">
      <c r="A80" s="45" t="n"/>
      <c r="B80" s="45" t="n"/>
      <c r="C80" s="47" t="n"/>
      <c r="D80" s="45" t="n"/>
      <c r="E80" s="45" t="n"/>
      <c r="F80" s="46" t="n"/>
      <c r="G80" s="46" t="n"/>
      <c r="H80" s="46" t="n"/>
      <c r="I80" s="45" t="n"/>
      <c r="J80" s="46" t="n"/>
      <c r="K80" s="45" t="n"/>
      <c r="L80" s="47" t="n"/>
    </row>
    <row r="81">
      <c r="A81" s="45" t="n"/>
      <c r="B81" s="45" t="n"/>
      <c r="C81" s="47" t="n"/>
      <c r="D81" s="45" t="n"/>
      <c r="E81" s="45" t="n"/>
      <c r="F81" s="46" t="n"/>
      <c r="G81" s="46" t="n"/>
      <c r="H81" s="46" t="n"/>
      <c r="I81" s="45" t="n"/>
      <c r="J81" s="46" t="n"/>
      <c r="K81" s="45" t="n"/>
      <c r="L81" s="47" t="n"/>
    </row>
    <row r="82">
      <c r="A82" s="45" t="n"/>
      <c r="B82" s="45" t="n"/>
      <c r="C82" s="47" t="n"/>
      <c r="D82" s="45" t="n"/>
      <c r="E82" s="45" t="n"/>
      <c r="F82" s="46" t="n"/>
      <c r="G82" s="46" t="n"/>
      <c r="H82" s="46" t="n"/>
      <c r="I82" s="45" t="n"/>
      <c r="J82" s="46" t="n"/>
      <c r="K82" s="45" t="n"/>
      <c r="L82" s="47" t="n"/>
    </row>
    <row r="83">
      <c r="A83" s="45" t="n"/>
      <c r="B83" s="45" t="n"/>
      <c r="C83" s="47" t="n"/>
      <c r="D83" s="45" t="n"/>
      <c r="E83" s="45" t="n"/>
      <c r="F83" s="46" t="n"/>
      <c r="G83" s="46" t="n"/>
      <c r="H83" s="46" t="n"/>
      <c r="I83" s="45" t="n"/>
      <c r="J83" s="46" t="n"/>
      <c r="K83" s="45" t="n"/>
      <c r="L83" s="47" t="n"/>
    </row>
    <row r="84">
      <c r="A84" s="45" t="n"/>
      <c r="B84" s="45" t="n"/>
      <c r="C84" s="47" t="n"/>
      <c r="D84" s="45" t="n"/>
      <c r="E84" s="45" t="n"/>
      <c r="F84" s="46" t="n"/>
      <c r="G84" s="46" t="n"/>
      <c r="H84" s="46" t="n"/>
      <c r="I84" s="45" t="n"/>
      <c r="J84" s="46" t="n"/>
      <c r="K84" s="45" t="n"/>
      <c r="L84" s="47" t="n"/>
    </row>
    <row r="85">
      <c r="A85" s="45" t="n"/>
      <c r="B85" s="45" t="n"/>
      <c r="C85" s="47" t="n"/>
      <c r="D85" s="45" t="n"/>
      <c r="E85" s="45" t="n"/>
      <c r="F85" s="46" t="n"/>
      <c r="G85" s="46" t="n"/>
      <c r="H85" s="46" t="n"/>
      <c r="I85" s="45" t="n"/>
      <c r="J85" s="46" t="n"/>
      <c r="K85" s="45" t="n"/>
      <c r="L85" s="47" t="n"/>
    </row>
    <row r="86">
      <c r="A86" s="45" t="n"/>
      <c r="B86" s="45" t="n"/>
      <c r="C86" s="47" t="n"/>
      <c r="D86" s="45" t="n"/>
      <c r="E86" s="45" t="n"/>
      <c r="F86" s="46" t="n"/>
      <c r="G86" s="46" t="n"/>
      <c r="H86" s="46" t="n"/>
      <c r="I86" s="45" t="n"/>
      <c r="J86" s="46" t="n"/>
      <c r="K86" s="45" t="n"/>
      <c r="L86" s="47" t="n"/>
    </row>
    <row r="87">
      <c r="A87" s="45" t="n"/>
      <c r="B87" s="45" t="n"/>
      <c r="C87" s="47" t="n"/>
      <c r="D87" s="45" t="n"/>
      <c r="E87" s="45" t="n"/>
      <c r="F87" s="46" t="n"/>
      <c r="G87" s="46" t="n"/>
      <c r="H87" s="46" t="n"/>
      <c r="I87" s="45" t="n"/>
      <c r="J87" s="46" t="n"/>
      <c r="K87" s="45" t="n"/>
      <c r="L87" s="47" t="n"/>
    </row>
    <row r="88">
      <c r="A88" s="45" t="n"/>
      <c r="B88" s="45" t="n"/>
      <c r="C88" s="47" t="n"/>
      <c r="D88" s="45" t="n"/>
      <c r="E88" s="45" t="n"/>
      <c r="F88" s="46" t="n"/>
      <c r="G88" s="46" t="n"/>
      <c r="H88" s="46" t="n"/>
      <c r="I88" s="45" t="n"/>
      <c r="J88" s="46" t="n"/>
      <c r="K88" s="45" t="n"/>
      <c r="L88" s="47" t="n"/>
    </row>
    <row r="89">
      <c r="A89" s="45" t="n"/>
      <c r="B89" s="45" t="n"/>
      <c r="C89" s="47" t="n"/>
      <c r="D89" s="45" t="n"/>
      <c r="E89" s="45" t="n"/>
      <c r="F89" s="46" t="n"/>
      <c r="G89" s="46" t="n"/>
      <c r="H89" s="46" t="n"/>
      <c r="I89" s="45" t="n"/>
      <c r="J89" s="46" t="n"/>
      <c r="K89" s="45" t="n"/>
      <c r="L89" s="47" t="n"/>
    </row>
    <row r="90">
      <c r="A90" s="45" t="n"/>
      <c r="B90" s="45" t="n"/>
      <c r="C90" s="47" t="n"/>
      <c r="D90" s="45" t="n"/>
      <c r="E90" s="45" t="n"/>
      <c r="F90" s="46" t="n"/>
      <c r="G90" s="46" t="n"/>
      <c r="H90" s="46" t="n"/>
      <c r="I90" s="45" t="n"/>
      <c r="J90" s="46" t="n"/>
      <c r="K90" s="45" t="n"/>
      <c r="L90" s="47" t="n"/>
    </row>
    <row r="91">
      <c r="A91" s="45" t="n"/>
      <c r="B91" s="45" t="n"/>
      <c r="C91" s="47" t="n"/>
      <c r="D91" s="45" t="n"/>
      <c r="E91" s="45" t="n"/>
      <c r="F91" s="46" t="n"/>
      <c r="G91" s="46" t="n"/>
      <c r="H91" s="46" t="n"/>
      <c r="I91" s="45" t="n"/>
      <c r="J91" s="46" t="n"/>
      <c r="K91" s="45" t="n"/>
      <c r="L91" s="47" t="n"/>
    </row>
    <row r="92">
      <c r="A92" s="45" t="n"/>
      <c r="B92" s="45" t="n"/>
      <c r="C92" s="47" t="n"/>
      <c r="D92" s="45" t="n"/>
      <c r="E92" s="45" t="n"/>
      <c r="F92" s="46" t="n"/>
      <c r="G92" s="46" t="n"/>
      <c r="H92" s="46" t="n"/>
      <c r="I92" s="45" t="n"/>
      <c r="J92" s="46" t="n"/>
      <c r="K92" s="45" t="n"/>
      <c r="L92" s="47" t="n"/>
    </row>
    <row r="93">
      <c r="A93" s="45" t="n"/>
      <c r="B93" s="45" t="n"/>
      <c r="C93" s="47" t="n"/>
      <c r="D93" s="45" t="n"/>
      <c r="E93" s="45" t="n"/>
      <c r="F93" s="46" t="n"/>
      <c r="G93" s="46" t="n"/>
      <c r="H93" s="46" t="n"/>
      <c r="I93" s="45" t="n"/>
      <c r="J93" s="46" t="n"/>
      <c r="K93" s="45" t="n"/>
      <c r="L93" s="47" t="n"/>
    </row>
    <row r="94">
      <c r="A94" s="45" t="n"/>
      <c r="B94" s="45" t="n"/>
      <c r="C94" s="47" t="n"/>
      <c r="D94" s="45" t="n"/>
      <c r="E94" s="45" t="n"/>
      <c r="F94" s="46" t="n"/>
      <c r="G94" s="46" t="n"/>
      <c r="H94" s="46" t="n"/>
      <c r="I94" s="45" t="n"/>
      <c r="J94" s="46" t="n"/>
      <c r="K94" s="45" t="n"/>
      <c r="L94" s="47" t="n"/>
    </row>
    <row r="95">
      <c r="A95" s="45" t="n"/>
      <c r="B95" s="45" t="n"/>
      <c r="C95" s="47" t="n"/>
      <c r="D95" s="45" t="n"/>
      <c r="E95" s="45" t="n"/>
      <c r="F95" s="46" t="n"/>
      <c r="G95" s="46" t="n"/>
      <c r="H95" s="46" t="n"/>
      <c r="I95" s="45" t="n"/>
      <c r="J95" s="46" t="n"/>
      <c r="K95" s="45" t="n"/>
      <c r="L95" s="47" t="n"/>
    </row>
    <row r="96">
      <c r="A96" s="45" t="n"/>
      <c r="B96" s="45" t="n"/>
      <c r="C96" s="47" t="n"/>
      <c r="D96" s="45" t="n"/>
      <c r="E96" s="45" t="n"/>
      <c r="F96" s="46" t="n"/>
      <c r="G96" s="46" t="n"/>
      <c r="H96" s="46" t="n"/>
      <c r="I96" s="45" t="n"/>
      <c r="J96" s="46" t="n"/>
      <c r="K96" s="45" t="n"/>
      <c r="L96" s="47" t="n"/>
    </row>
    <row r="97">
      <c r="A97" s="45" t="n"/>
      <c r="B97" s="45" t="n"/>
      <c r="C97" s="47" t="n"/>
      <c r="D97" s="45" t="n"/>
      <c r="E97" s="45" t="n"/>
      <c r="F97" s="46" t="n"/>
      <c r="G97" s="46" t="n"/>
      <c r="H97" s="46" t="n"/>
      <c r="I97" s="45" t="n"/>
      <c r="J97" s="46" t="n"/>
      <c r="K97" s="45" t="n"/>
      <c r="L97" s="47" t="n"/>
    </row>
    <row r="98">
      <c r="A98" s="45" t="n"/>
      <c r="B98" s="45" t="n"/>
      <c r="C98" s="47" t="n"/>
      <c r="D98" s="45" t="n"/>
      <c r="E98" s="45" t="n"/>
      <c r="F98" s="46" t="n"/>
      <c r="G98" s="46" t="n"/>
      <c r="H98" s="46" t="n"/>
      <c r="I98" s="45" t="n"/>
      <c r="J98" s="46" t="n"/>
      <c r="K98" s="45" t="n"/>
      <c r="L98" s="47" t="n"/>
    </row>
    <row r="99">
      <c r="A99" s="45" t="n"/>
      <c r="B99" s="45" t="n"/>
      <c r="C99" s="47" t="n"/>
      <c r="D99" s="45" t="n"/>
      <c r="E99" s="45" t="n"/>
      <c r="F99" s="46" t="n"/>
      <c r="G99" s="46" t="n"/>
      <c r="H99" s="46" t="n"/>
      <c r="I99" s="45" t="n"/>
      <c r="J99" s="46" t="n"/>
      <c r="K99" s="45" t="n"/>
      <c r="L99" s="47" t="n"/>
    </row>
    <row r="100">
      <c r="A100" s="45" t="n"/>
      <c r="B100" s="45" t="n"/>
      <c r="C100" s="47" t="n"/>
      <c r="D100" s="45" t="n"/>
      <c r="E100" s="45" t="n"/>
      <c r="F100" s="46" t="n"/>
      <c r="G100" s="46" t="n"/>
      <c r="H100" s="46" t="n"/>
      <c r="I100" s="45" t="n"/>
      <c r="J100" s="46" t="n"/>
      <c r="K100" s="45" t="n"/>
      <c r="L100" s="47" t="n"/>
    </row>
    <row r="101">
      <c r="A101" s="45" t="n"/>
      <c r="B101" s="45" t="n"/>
      <c r="C101" s="47" t="n"/>
      <c r="D101" s="45" t="n"/>
      <c r="E101" s="45" t="n"/>
      <c r="F101" s="46" t="n"/>
      <c r="G101" s="46" t="n"/>
      <c r="H101" s="46" t="n"/>
      <c r="I101" s="45" t="n"/>
      <c r="J101" s="46" t="n"/>
      <c r="K101" s="45" t="n"/>
      <c r="L101" s="47" t="n"/>
    </row>
    <row r="102">
      <c r="A102" s="45" t="n"/>
      <c r="B102" s="45" t="n"/>
      <c r="C102" s="47" t="n"/>
      <c r="D102" s="45" t="n"/>
      <c r="E102" s="45" t="n"/>
      <c r="F102" s="46" t="n"/>
      <c r="G102" s="46" t="n"/>
      <c r="H102" s="46" t="n"/>
      <c r="I102" s="45" t="n"/>
      <c r="J102" s="46" t="n"/>
      <c r="K102" s="45" t="n"/>
      <c r="L102" s="47" t="n"/>
    </row>
    <row r="103">
      <c r="A103" s="45" t="n"/>
      <c r="B103" s="45" t="n"/>
      <c r="C103" s="47" t="n"/>
      <c r="D103" s="45" t="n"/>
      <c r="E103" s="45" t="n"/>
      <c r="F103" s="46" t="n"/>
      <c r="G103" s="46" t="n"/>
      <c r="H103" s="46" t="n"/>
      <c r="I103" s="45" t="n"/>
      <c r="J103" s="46" t="n"/>
      <c r="K103" s="45" t="n"/>
      <c r="L103" s="47" t="n"/>
    </row>
    <row r="104">
      <c r="A104" s="45" t="n"/>
      <c r="B104" s="45" t="n"/>
      <c r="C104" s="47" t="n"/>
      <c r="D104" s="45" t="n"/>
      <c r="E104" s="45" t="n"/>
      <c r="F104" s="46" t="n"/>
      <c r="G104" s="46" t="n"/>
      <c r="H104" s="46" t="n"/>
      <c r="I104" s="45" t="n"/>
      <c r="J104" s="46" t="n"/>
      <c r="K104" s="45" t="n"/>
      <c r="L104" s="47" t="n"/>
    </row>
    <row r="105">
      <c r="A105" s="45" t="n"/>
      <c r="B105" s="45" t="n"/>
      <c r="C105" s="47" t="n"/>
      <c r="D105" s="45" t="n"/>
      <c r="E105" s="45" t="n"/>
      <c r="F105" s="46" t="n"/>
      <c r="G105" s="46" t="n"/>
      <c r="H105" s="46" t="n"/>
      <c r="I105" s="45" t="n"/>
      <c r="J105" s="46" t="n"/>
      <c r="K105" s="45" t="n"/>
      <c r="L105" s="47" t="n"/>
    </row>
    <row r="106">
      <c r="A106" s="45" t="n"/>
      <c r="B106" s="45" t="n"/>
      <c r="C106" s="47" t="n"/>
      <c r="D106" s="45" t="n"/>
      <c r="E106" s="45" t="n"/>
      <c r="F106" s="46" t="n"/>
      <c r="G106" s="46" t="n"/>
      <c r="H106" s="46" t="n"/>
      <c r="I106" s="45" t="n"/>
      <c r="J106" s="46" t="n"/>
      <c r="K106" s="45" t="n"/>
      <c r="L106" s="47" t="n"/>
    </row>
    <row r="107">
      <c r="A107" s="45" t="n"/>
      <c r="B107" s="45" t="n"/>
      <c r="C107" s="47" t="n"/>
      <c r="D107" s="45" t="n"/>
      <c r="E107" s="45" t="n"/>
      <c r="F107" s="46" t="n"/>
      <c r="G107" s="46" t="n"/>
      <c r="H107" s="46" t="n"/>
      <c r="I107" s="45" t="n"/>
      <c r="J107" s="46" t="n"/>
      <c r="K107" s="45" t="n"/>
      <c r="L107" s="47" t="n"/>
    </row>
    <row r="108">
      <c r="A108" s="45" t="n"/>
      <c r="B108" s="45" t="n"/>
      <c r="C108" s="47" t="n"/>
      <c r="D108" s="45" t="n"/>
      <c r="E108" s="45" t="n"/>
      <c r="F108" s="46" t="n"/>
      <c r="G108" s="46" t="n"/>
      <c r="H108" s="46" t="n"/>
      <c r="I108" s="45" t="n"/>
      <c r="J108" s="46" t="n"/>
      <c r="K108" s="45" t="n"/>
      <c r="L108" s="47" t="n"/>
    </row>
    <row r="109">
      <c r="A109" s="45" t="n"/>
      <c r="B109" s="45" t="n"/>
      <c r="C109" s="47" t="n"/>
      <c r="D109" s="45" t="n"/>
      <c r="E109" s="45" t="n"/>
      <c r="F109" s="46" t="n"/>
      <c r="G109" s="46" t="n"/>
      <c r="H109" s="46" t="n"/>
      <c r="I109" s="45" t="n"/>
      <c r="J109" s="46" t="n"/>
      <c r="K109" s="45" t="n"/>
      <c r="L109" s="47" t="n"/>
    </row>
    <row r="110">
      <c r="A110" s="45" t="n"/>
      <c r="B110" s="45" t="n"/>
      <c r="C110" s="47" t="n"/>
      <c r="D110" s="45" t="n"/>
      <c r="E110" s="45" t="n"/>
      <c r="F110" s="46" t="n"/>
      <c r="G110" s="46" t="n"/>
      <c r="H110" s="46" t="n"/>
      <c r="I110" s="45" t="n"/>
      <c r="J110" s="46" t="n"/>
      <c r="K110" s="45" t="n"/>
      <c r="L110" s="47" t="n"/>
    </row>
    <row r="111">
      <c r="A111" s="45" t="n"/>
      <c r="B111" s="45" t="n"/>
      <c r="C111" s="47" t="n"/>
      <c r="D111" s="45" t="n"/>
      <c r="E111" s="45" t="n"/>
      <c r="F111" s="46" t="n"/>
      <c r="G111" s="46" t="n"/>
      <c r="H111" s="46" t="n"/>
      <c r="I111" s="45" t="n"/>
      <c r="J111" s="46" t="n"/>
      <c r="K111" s="45" t="n"/>
      <c r="L111" s="47" t="n"/>
    </row>
    <row r="112">
      <c r="A112" s="45" t="n"/>
      <c r="B112" s="45" t="n"/>
      <c r="C112" s="47" t="n"/>
      <c r="D112" s="45" t="n"/>
      <c r="E112" s="45" t="n"/>
      <c r="F112" s="46" t="n"/>
      <c r="G112" s="46" t="n"/>
      <c r="H112" s="46" t="n"/>
      <c r="I112" s="45" t="n"/>
      <c r="J112" s="46" t="n"/>
      <c r="K112" s="45" t="n"/>
      <c r="L112" s="47" t="n"/>
    </row>
    <row r="113">
      <c r="A113" s="45" t="n"/>
      <c r="B113" s="45" t="n"/>
      <c r="C113" s="47" t="n"/>
      <c r="D113" s="45" t="n"/>
      <c r="E113" s="45" t="n"/>
      <c r="F113" s="46" t="n"/>
      <c r="G113" s="46" t="n"/>
      <c r="H113" s="46" t="n"/>
      <c r="I113" s="45" t="n"/>
      <c r="J113" s="46" t="n"/>
      <c r="K113" s="45" t="n"/>
      <c r="L113" s="47" t="n"/>
    </row>
    <row r="114">
      <c r="A114" s="45" t="n"/>
      <c r="B114" s="45" t="n"/>
      <c r="C114" s="47" t="n"/>
      <c r="D114" s="45" t="n"/>
      <c r="E114" s="45" t="n"/>
      <c r="F114" s="46" t="n"/>
      <c r="G114" s="46" t="n"/>
      <c r="H114" s="46" t="n"/>
      <c r="I114" s="45" t="n"/>
      <c r="J114" s="46" t="n"/>
      <c r="K114" s="45" t="n"/>
      <c r="L114" s="47" t="n"/>
    </row>
    <row r="115">
      <c r="A115" s="45" t="n"/>
      <c r="B115" s="45" t="n"/>
      <c r="C115" s="47" t="n"/>
      <c r="D115" s="45" t="n"/>
      <c r="E115" s="45" t="n"/>
      <c r="F115" s="46" t="n"/>
      <c r="G115" s="46" t="n"/>
      <c r="H115" s="46" t="n"/>
      <c r="I115" s="45" t="n"/>
      <c r="J115" s="46" t="n"/>
      <c r="K115" s="45" t="n"/>
      <c r="L115" s="47" t="n"/>
    </row>
    <row r="116">
      <c r="A116" s="45" t="n"/>
      <c r="B116" s="45" t="n"/>
      <c r="C116" s="47" t="n"/>
      <c r="D116" s="45" t="n"/>
      <c r="E116" s="45" t="n"/>
      <c r="F116" s="46" t="n"/>
      <c r="G116" s="46" t="n"/>
      <c r="H116" s="46" t="n"/>
      <c r="I116" s="45" t="n"/>
      <c r="J116" s="46" t="n"/>
      <c r="K116" s="45" t="n"/>
      <c r="L116" s="47" t="n"/>
    </row>
    <row r="117">
      <c r="A117" s="45" t="n"/>
      <c r="B117" s="45" t="n"/>
      <c r="C117" s="47" t="n"/>
      <c r="D117" s="45" t="n"/>
      <c r="E117" s="45" t="n"/>
      <c r="F117" s="46" t="n"/>
      <c r="G117" s="46" t="n"/>
      <c r="H117" s="46" t="n"/>
      <c r="I117" s="45" t="n"/>
      <c r="J117" s="46" t="n"/>
      <c r="K117" s="45" t="n"/>
      <c r="L117" s="47" t="n"/>
    </row>
    <row r="118">
      <c r="A118" s="45" t="n"/>
      <c r="B118" s="45" t="n"/>
      <c r="C118" s="47" t="n"/>
      <c r="D118" s="45" t="n"/>
      <c r="E118" s="45" t="n"/>
      <c r="F118" s="46" t="n"/>
      <c r="G118" s="46" t="n"/>
      <c r="H118" s="46" t="n"/>
      <c r="I118" s="45" t="n"/>
      <c r="J118" s="46" t="n"/>
      <c r="K118" s="45" t="n"/>
      <c r="L118" s="47" t="n"/>
    </row>
    <row r="119">
      <c r="A119" s="45" t="n"/>
      <c r="B119" s="45" t="n"/>
      <c r="C119" s="47" t="n"/>
      <c r="D119" s="45" t="n"/>
      <c r="E119" s="45" t="n"/>
      <c r="F119" s="46" t="n"/>
      <c r="G119" s="46" t="n"/>
      <c r="H119" s="46" t="n"/>
      <c r="I119" s="45" t="n"/>
      <c r="J119" s="46" t="n"/>
      <c r="K119" s="45" t="n"/>
      <c r="L119" s="47" t="n"/>
    </row>
    <row r="120">
      <c r="A120" s="45" t="n"/>
      <c r="B120" s="45" t="n"/>
      <c r="C120" s="47" t="n"/>
      <c r="D120" s="45" t="n"/>
      <c r="E120" s="45" t="n"/>
      <c r="F120" s="46" t="n"/>
      <c r="G120" s="46" t="n"/>
      <c r="H120" s="46" t="n"/>
      <c r="I120" s="45" t="n"/>
      <c r="J120" s="46" t="n"/>
      <c r="K120" s="45" t="n"/>
      <c r="L120" s="47" t="n"/>
    </row>
    <row r="121">
      <c r="A121" s="45" t="n"/>
      <c r="B121" s="45" t="n"/>
      <c r="C121" s="47" t="n"/>
      <c r="D121" s="45" t="n"/>
      <c r="E121" s="45" t="n"/>
      <c r="F121" s="46" t="n"/>
      <c r="G121" s="46" t="n"/>
      <c r="H121" s="46" t="n"/>
      <c r="I121" s="45" t="n"/>
      <c r="J121" s="46" t="n"/>
      <c r="K121" s="45" t="n"/>
      <c r="L121" s="47" t="n"/>
    </row>
    <row r="122">
      <c r="A122" s="45" t="n"/>
      <c r="B122" s="45" t="n"/>
      <c r="C122" s="47" t="n"/>
      <c r="D122" s="45" t="n"/>
      <c r="E122" s="45" t="n"/>
      <c r="F122" s="46" t="n"/>
      <c r="G122" s="46" t="n"/>
      <c r="H122" s="46" t="n"/>
      <c r="I122" s="45" t="n"/>
      <c r="J122" s="46" t="n"/>
      <c r="K122" s="45" t="n"/>
      <c r="L122" s="47" t="n"/>
    </row>
    <row r="123">
      <c r="A123" s="45" t="n"/>
      <c r="B123" s="45" t="n"/>
      <c r="C123" s="47" t="n"/>
      <c r="D123" s="45" t="n"/>
      <c r="E123" s="45" t="n"/>
      <c r="F123" s="46" t="n"/>
      <c r="G123" s="46" t="n"/>
      <c r="H123" s="46" t="n"/>
      <c r="I123" s="45" t="n"/>
      <c r="J123" s="46" t="n"/>
      <c r="K123" s="45" t="n"/>
      <c r="L123" s="47" t="n"/>
    </row>
    <row r="124">
      <c r="A124" s="45" t="n"/>
      <c r="B124" s="45" t="n"/>
      <c r="C124" s="47" t="n"/>
      <c r="D124" s="45" t="n"/>
      <c r="E124" s="45" t="n"/>
      <c r="F124" s="46" t="n"/>
      <c r="G124" s="46" t="n"/>
      <c r="H124" s="46" t="n"/>
      <c r="I124" s="45" t="n"/>
      <c r="J124" s="46" t="n"/>
      <c r="K124" s="45" t="n"/>
      <c r="L124" s="47" t="n"/>
    </row>
    <row r="125">
      <c r="A125" s="45" t="n"/>
      <c r="B125" s="45" t="n"/>
      <c r="C125" s="47" t="n"/>
      <c r="D125" s="45" t="n"/>
      <c r="E125" s="45" t="n"/>
      <c r="F125" s="46" t="n"/>
      <c r="G125" s="46" t="n"/>
      <c r="H125" s="46" t="n"/>
      <c r="I125" s="45" t="n"/>
      <c r="J125" s="46" t="n"/>
      <c r="K125" s="45" t="n"/>
      <c r="L125" s="47" t="n"/>
    </row>
    <row r="126">
      <c r="A126" s="45" t="n"/>
      <c r="B126" s="45" t="n"/>
      <c r="C126" s="47" t="n"/>
      <c r="D126" s="45" t="n"/>
      <c r="E126" s="45" t="n"/>
      <c r="F126" s="46" t="n"/>
      <c r="G126" s="46" t="n"/>
      <c r="H126" s="46" t="n"/>
      <c r="I126" s="45" t="n"/>
      <c r="J126" s="46" t="n"/>
      <c r="K126" s="45" t="n"/>
      <c r="L126" s="47" t="n"/>
    </row>
    <row r="127">
      <c r="A127" s="45" t="n"/>
      <c r="B127" s="45" t="n"/>
      <c r="C127" s="47" t="n"/>
      <c r="D127" s="45" t="n"/>
      <c r="E127" s="45" t="n"/>
      <c r="F127" s="46" t="n"/>
      <c r="G127" s="46" t="n"/>
      <c r="H127" s="46" t="n"/>
      <c r="I127" s="45" t="n"/>
      <c r="J127" s="46" t="n"/>
      <c r="K127" s="45" t="n"/>
      <c r="L127" s="47" t="n"/>
    </row>
    <row r="128">
      <c r="A128" s="45" t="n"/>
      <c r="B128" s="45" t="n"/>
      <c r="C128" s="47" t="n"/>
      <c r="D128" s="45" t="n"/>
      <c r="E128" s="45" t="n"/>
      <c r="F128" s="46" t="n"/>
      <c r="G128" s="46" t="n"/>
      <c r="H128" s="46" t="n"/>
      <c r="I128" s="45" t="n"/>
      <c r="J128" s="46" t="n"/>
      <c r="K128" s="45" t="n"/>
      <c r="L128" s="47" t="n"/>
    </row>
    <row r="129">
      <c r="A129" s="45" t="n"/>
      <c r="B129" s="45" t="n"/>
      <c r="C129" s="47" t="n"/>
      <c r="D129" s="45" t="n"/>
      <c r="E129" s="45" t="n"/>
      <c r="F129" s="46" t="n"/>
      <c r="G129" s="46" t="n"/>
      <c r="H129" s="46" t="n"/>
      <c r="I129" s="45" t="n"/>
      <c r="J129" s="46" t="n"/>
      <c r="K129" s="45" t="n"/>
      <c r="L129" s="47" t="n"/>
    </row>
    <row r="130">
      <c r="A130" s="45" t="n"/>
      <c r="B130" s="45" t="n"/>
      <c r="C130" s="47" t="n"/>
      <c r="D130" s="45" t="n"/>
      <c r="E130" s="45" t="n"/>
      <c r="F130" s="46" t="n"/>
      <c r="G130" s="46" t="n"/>
      <c r="H130" s="46" t="n"/>
      <c r="I130" s="45" t="n"/>
      <c r="J130" s="46" t="n"/>
      <c r="K130" s="45" t="n"/>
      <c r="L130" s="47" t="n"/>
    </row>
    <row r="131">
      <c r="A131" s="45" t="n"/>
      <c r="B131" s="45" t="n"/>
      <c r="C131" s="47" t="n"/>
      <c r="D131" s="45" t="n"/>
      <c r="E131" s="45" t="n"/>
      <c r="F131" s="46" t="n"/>
      <c r="G131" s="46" t="n"/>
      <c r="H131" s="46" t="n"/>
      <c r="I131" s="45" t="n"/>
      <c r="J131" s="46" t="n"/>
      <c r="K131" s="45" t="n"/>
      <c r="L131" s="47" t="n"/>
    </row>
    <row r="132">
      <c r="A132" s="45" t="n"/>
      <c r="B132" s="45" t="n"/>
      <c r="C132" s="47" t="n"/>
      <c r="D132" s="45" t="n"/>
      <c r="E132" s="45" t="n"/>
      <c r="F132" s="46" t="n"/>
      <c r="G132" s="46" t="n"/>
      <c r="H132" s="46" t="n"/>
      <c r="I132" s="45" t="n"/>
      <c r="J132" s="46" t="n"/>
      <c r="K132" s="45" t="n"/>
      <c r="L132" s="47" t="n"/>
    </row>
    <row r="133">
      <c r="A133" s="45" t="n"/>
      <c r="B133" s="45" t="n"/>
      <c r="C133" s="47" t="n"/>
      <c r="D133" s="45" t="n"/>
      <c r="E133" s="45" t="n"/>
      <c r="F133" s="46" t="n"/>
      <c r="G133" s="46" t="n"/>
      <c r="H133" s="46" t="n"/>
      <c r="I133" s="45" t="n"/>
      <c r="J133" s="46" t="n"/>
      <c r="K133" s="45" t="n"/>
      <c r="L133" s="47" t="n"/>
    </row>
    <row r="134">
      <c r="A134" s="45" t="n"/>
      <c r="B134" s="45" t="n"/>
      <c r="C134" s="47" t="n"/>
      <c r="D134" s="45" t="n"/>
      <c r="E134" s="45" t="n"/>
      <c r="F134" s="46" t="n"/>
      <c r="G134" s="46" t="n"/>
      <c r="H134" s="46" t="n"/>
      <c r="I134" s="45" t="n"/>
      <c r="J134" s="46" t="n"/>
      <c r="K134" s="45" t="n"/>
      <c r="L134" s="47" t="n"/>
    </row>
    <row r="135">
      <c r="A135" s="45" t="n"/>
      <c r="B135" s="45" t="n"/>
      <c r="C135" s="47" t="n"/>
      <c r="D135" s="45" t="n"/>
      <c r="E135" s="45" t="n"/>
      <c r="F135" s="46" t="n"/>
      <c r="G135" s="46" t="n"/>
      <c r="H135" s="46" t="n"/>
      <c r="I135" s="45" t="n"/>
      <c r="J135" s="46" t="n"/>
      <c r="K135" s="45" t="n"/>
      <c r="L135" s="47" t="n"/>
    </row>
    <row r="136">
      <c r="A136" s="45" t="n"/>
      <c r="B136" s="45" t="n"/>
      <c r="C136" s="47" t="n"/>
      <c r="D136" s="45" t="n"/>
      <c r="E136" s="45" t="n"/>
      <c r="F136" s="46" t="n"/>
      <c r="G136" s="46" t="n"/>
      <c r="H136" s="46" t="n"/>
      <c r="I136" s="45" t="n"/>
      <c r="J136" s="46" t="n"/>
      <c r="K136" s="45" t="n"/>
      <c r="L136" s="47" t="n"/>
    </row>
    <row r="137">
      <c r="A137" s="45" t="n"/>
      <c r="B137" s="45" t="n"/>
      <c r="C137" s="47" t="n"/>
      <c r="D137" s="45" t="n"/>
      <c r="E137" s="45" t="n"/>
      <c r="F137" s="46" t="n"/>
      <c r="G137" s="46" t="n"/>
      <c r="H137" s="46" t="n"/>
      <c r="I137" s="45" t="n"/>
      <c r="J137" s="46" t="n"/>
      <c r="K137" s="45" t="n"/>
      <c r="L137" s="47" t="n"/>
    </row>
    <row r="138">
      <c r="A138" s="45" t="n"/>
      <c r="B138" s="45" t="n"/>
      <c r="C138" s="47" t="n"/>
      <c r="D138" s="45" t="n"/>
      <c r="E138" s="45" t="n"/>
      <c r="F138" s="46" t="n"/>
      <c r="G138" s="46" t="n"/>
      <c r="H138" s="46" t="n"/>
      <c r="I138" s="45" t="n"/>
      <c r="J138" s="46" t="n"/>
      <c r="K138" s="45" t="n"/>
      <c r="L138" s="47" t="n"/>
    </row>
    <row r="139">
      <c r="A139" s="45" t="n"/>
      <c r="B139" s="45" t="n"/>
      <c r="C139" s="47" t="n"/>
      <c r="D139" s="45" t="n"/>
      <c r="E139" s="45" t="n"/>
      <c r="F139" s="46" t="n"/>
      <c r="G139" s="46" t="n"/>
      <c r="H139" s="46" t="n"/>
      <c r="I139" s="45" t="n"/>
      <c r="J139" s="46" t="n"/>
      <c r="K139" s="45" t="n"/>
      <c r="L139" s="47" t="n"/>
    </row>
    <row r="140">
      <c r="A140" s="45" t="n"/>
      <c r="B140" s="45" t="n"/>
      <c r="C140" s="47" t="n"/>
      <c r="D140" s="45" t="n"/>
      <c r="E140" s="45" t="n"/>
      <c r="F140" s="46" t="n"/>
      <c r="G140" s="46" t="n"/>
      <c r="H140" s="46" t="n"/>
      <c r="I140" s="45" t="n"/>
      <c r="J140" s="46" t="n"/>
      <c r="K140" s="45" t="n"/>
      <c r="L140" s="47" t="n"/>
    </row>
    <row r="141">
      <c r="A141" s="45" t="n"/>
      <c r="B141" s="45" t="n"/>
      <c r="C141" s="47" t="n"/>
      <c r="D141" s="45" t="n"/>
      <c r="E141" s="45" t="n"/>
      <c r="F141" s="46" t="n"/>
      <c r="G141" s="46" t="n"/>
      <c r="H141" s="46" t="n"/>
      <c r="I141" s="45" t="n"/>
      <c r="J141" s="46" t="n"/>
      <c r="K141" s="45" t="n"/>
      <c r="L141" s="47" t="n"/>
    </row>
    <row r="142">
      <c r="A142" s="45" t="n"/>
      <c r="B142" s="45" t="n"/>
      <c r="C142" s="47" t="n"/>
      <c r="D142" s="45" t="n"/>
      <c r="E142" s="45" t="n"/>
      <c r="F142" s="46" t="n"/>
      <c r="G142" s="46" t="n"/>
      <c r="H142" s="46" t="n"/>
      <c r="I142" s="45" t="n"/>
      <c r="J142" s="46" t="n"/>
      <c r="K142" s="45" t="n"/>
      <c r="L142" s="47" t="n"/>
    </row>
    <row r="143">
      <c r="A143" s="45" t="n"/>
      <c r="B143" s="45" t="n"/>
      <c r="C143" s="47" t="n"/>
      <c r="D143" s="45" t="n"/>
      <c r="E143" s="45" t="n"/>
      <c r="F143" s="46" t="n"/>
      <c r="G143" s="46" t="n"/>
      <c r="H143" s="46" t="n"/>
      <c r="I143" s="45" t="n"/>
      <c r="J143" s="46" t="n"/>
      <c r="K143" s="45" t="n"/>
      <c r="L143" s="47" t="n"/>
    </row>
    <row r="144">
      <c r="A144" s="45" t="n"/>
      <c r="B144" s="45" t="n"/>
      <c r="C144" s="47" t="n"/>
      <c r="D144" s="45" t="n"/>
      <c r="E144" s="45" t="n"/>
      <c r="F144" s="46" t="n"/>
      <c r="G144" s="46" t="n"/>
      <c r="H144" s="46" t="n"/>
      <c r="I144" s="45" t="n"/>
      <c r="J144" s="46" t="n"/>
      <c r="K144" s="45" t="n"/>
      <c r="L144" s="47" t="n"/>
    </row>
    <row r="145">
      <c r="A145" s="45" t="n"/>
      <c r="B145" s="45" t="n"/>
      <c r="C145" s="47" t="n"/>
      <c r="D145" s="45" t="n"/>
      <c r="E145" s="45" t="n"/>
      <c r="F145" s="46" t="n"/>
      <c r="G145" s="46" t="n"/>
      <c r="H145" s="46" t="n"/>
      <c r="I145" s="45" t="n"/>
      <c r="J145" s="46" t="n"/>
      <c r="K145" s="45" t="n"/>
      <c r="L145" s="47" t="n"/>
    </row>
    <row r="146">
      <c r="A146" s="45" t="n"/>
      <c r="B146" s="45" t="n"/>
      <c r="C146" s="47" t="n"/>
      <c r="D146" s="45" t="n"/>
      <c r="E146" s="45" t="n"/>
      <c r="F146" s="46" t="n"/>
      <c r="G146" s="46" t="n"/>
      <c r="H146" s="46" t="n"/>
      <c r="I146" s="45" t="n"/>
      <c r="J146" s="46" t="n"/>
      <c r="K146" s="45" t="n"/>
      <c r="L146" s="47" t="n"/>
    </row>
    <row r="147">
      <c r="A147" s="45" t="n"/>
      <c r="B147" s="45" t="n"/>
      <c r="C147" s="47" t="n"/>
      <c r="D147" s="45" t="n"/>
      <c r="E147" s="45" t="n"/>
      <c r="F147" s="46" t="n"/>
      <c r="G147" s="46" t="n"/>
      <c r="H147" s="46" t="n"/>
      <c r="I147" s="45" t="n"/>
      <c r="J147" s="46" t="n"/>
      <c r="K147" s="45" t="n"/>
      <c r="L147" s="47" t="n"/>
    </row>
    <row r="148">
      <c r="A148" s="45" t="n"/>
      <c r="B148" s="45" t="n"/>
      <c r="C148" s="47" t="n"/>
      <c r="D148" s="45" t="n"/>
      <c r="E148" s="45" t="n"/>
      <c r="F148" s="46" t="n"/>
      <c r="G148" s="46" t="n"/>
      <c r="H148" s="46" t="n"/>
      <c r="I148" s="45" t="n"/>
      <c r="J148" s="46" t="n"/>
      <c r="K148" s="45" t="n"/>
      <c r="L148" s="47" t="n"/>
    </row>
    <row r="149">
      <c r="A149" s="45" t="n"/>
      <c r="B149" s="45" t="n"/>
      <c r="C149" s="47" t="n"/>
      <c r="D149" s="45" t="n"/>
      <c r="E149" s="45" t="n"/>
      <c r="F149" s="46" t="n"/>
      <c r="G149" s="46" t="n"/>
      <c r="H149" s="46" t="n"/>
      <c r="I149" s="45" t="n"/>
      <c r="J149" s="46" t="n"/>
      <c r="K149" s="45" t="n"/>
      <c r="L149" s="47" t="n"/>
    </row>
    <row r="150">
      <c r="A150" s="45" t="n"/>
      <c r="B150" s="45" t="n"/>
      <c r="C150" s="47" t="n"/>
      <c r="D150" s="45" t="n"/>
      <c r="E150" s="45" t="n"/>
      <c r="F150" s="46" t="n"/>
      <c r="G150" s="46" t="n"/>
      <c r="H150" s="46" t="n"/>
      <c r="I150" s="45" t="n"/>
      <c r="J150" s="46" t="n"/>
      <c r="K150" s="45" t="n"/>
      <c r="L150" s="47" t="n"/>
    </row>
    <row r="151">
      <c r="A151" s="45" t="n"/>
      <c r="B151" s="45" t="n"/>
      <c r="C151" s="47" t="n"/>
      <c r="D151" s="45" t="n"/>
      <c r="E151" s="45" t="n"/>
      <c r="F151" s="46" t="n"/>
      <c r="G151" s="46" t="n"/>
      <c r="H151" s="46" t="n"/>
      <c r="I151" s="45" t="n"/>
      <c r="J151" s="46" t="n"/>
      <c r="K151" s="45" t="n"/>
      <c r="L151" s="47" t="n"/>
    </row>
    <row r="152">
      <c r="A152" s="45" t="n"/>
      <c r="B152" s="45" t="n"/>
      <c r="C152" s="47" t="n"/>
      <c r="D152" s="45" t="n"/>
      <c r="E152" s="45" t="n"/>
      <c r="F152" s="46" t="n"/>
      <c r="G152" s="46" t="n"/>
      <c r="H152" s="46" t="n"/>
      <c r="I152" s="45" t="n"/>
      <c r="J152" s="46" t="n"/>
      <c r="K152" s="45" t="n"/>
      <c r="L152" s="47" t="n"/>
    </row>
    <row r="153">
      <c r="A153" s="45" t="n"/>
      <c r="B153" s="45" t="n"/>
      <c r="C153" s="47" t="n"/>
      <c r="D153" s="45" t="n"/>
      <c r="E153" s="45" t="n"/>
      <c r="F153" s="46" t="n"/>
      <c r="G153" s="46" t="n"/>
      <c r="H153" s="46" t="n"/>
      <c r="I153" s="45" t="n"/>
      <c r="J153" s="46" t="n"/>
      <c r="K153" s="45" t="n"/>
      <c r="L153" s="47" t="n"/>
    </row>
    <row r="154">
      <c r="A154" s="45" t="n"/>
      <c r="B154" s="45" t="n"/>
      <c r="C154" s="47" t="n"/>
      <c r="D154" s="45" t="n"/>
      <c r="E154" s="45" t="n"/>
      <c r="F154" s="46" t="n"/>
      <c r="G154" s="46" t="n"/>
      <c r="H154" s="46" t="n"/>
      <c r="I154" s="45" t="n"/>
      <c r="J154" s="46" t="n"/>
      <c r="K154" s="45" t="n"/>
      <c r="L154" s="47" t="n"/>
    </row>
    <row r="155">
      <c r="A155" s="45" t="n"/>
      <c r="B155" s="45" t="n"/>
      <c r="C155" s="47" t="n"/>
      <c r="D155" s="45" t="n"/>
      <c r="E155" s="45" t="n"/>
      <c r="F155" s="46" t="n"/>
      <c r="G155" s="46" t="n"/>
      <c r="H155" s="46" t="n"/>
      <c r="I155" s="45" t="n"/>
      <c r="J155" s="46" t="n"/>
      <c r="K155" s="45" t="n"/>
      <c r="L155" s="47" t="n"/>
    </row>
    <row r="156">
      <c r="A156" s="45" t="n"/>
      <c r="B156" s="45" t="n"/>
      <c r="C156" s="47" t="n"/>
      <c r="D156" s="45" t="n"/>
      <c r="E156" s="45" t="n"/>
      <c r="F156" s="46" t="n"/>
      <c r="G156" s="46" t="n"/>
      <c r="H156" s="46" t="n"/>
      <c r="I156" s="45" t="n"/>
      <c r="J156" s="46" t="n"/>
      <c r="K156" s="45" t="n"/>
      <c r="L156" s="47" t="n"/>
    </row>
    <row r="157">
      <c r="A157" s="45" t="n"/>
      <c r="B157" s="45" t="n"/>
      <c r="C157" s="47" t="n"/>
      <c r="D157" s="45" t="n"/>
      <c r="E157" s="45" t="n"/>
      <c r="F157" s="46" t="n"/>
      <c r="G157" s="46" t="n"/>
      <c r="H157" s="46" t="n"/>
      <c r="I157" s="45" t="n"/>
      <c r="J157" s="46" t="n"/>
      <c r="K157" s="45" t="n"/>
      <c r="L157" s="47" t="n"/>
    </row>
    <row r="158">
      <c r="A158" s="45" t="n"/>
      <c r="B158" s="45" t="n"/>
      <c r="C158" s="47" t="n"/>
      <c r="D158" s="45" t="n"/>
      <c r="E158" s="45" t="n"/>
      <c r="F158" s="46" t="n"/>
      <c r="G158" s="46" t="n"/>
      <c r="H158" s="46" t="n"/>
      <c r="I158" s="45" t="n"/>
      <c r="J158" s="46" t="n"/>
      <c r="K158" s="45" t="n"/>
      <c r="L158" s="47" t="n"/>
    </row>
    <row r="159">
      <c r="A159" s="45" t="n"/>
      <c r="B159" s="45" t="n"/>
      <c r="C159" s="47" t="n"/>
      <c r="D159" s="45" t="n"/>
      <c r="E159" s="45" t="n"/>
      <c r="F159" s="46" t="n"/>
      <c r="G159" s="46" t="n"/>
      <c r="H159" s="46" t="n"/>
      <c r="I159" s="45" t="n"/>
      <c r="J159" s="46" t="n"/>
      <c r="K159" s="45" t="n"/>
      <c r="L159" s="47" t="n"/>
    </row>
    <row r="160">
      <c r="A160" s="45" t="n"/>
      <c r="B160" s="45" t="n"/>
      <c r="C160" s="47" t="n"/>
      <c r="D160" s="45" t="n"/>
      <c r="E160" s="45" t="n"/>
      <c r="F160" s="46" t="n"/>
      <c r="G160" s="46" t="n"/>
      <c r="H160" s="46" t="n"/>
      <c r="I160" s="45" t="n"/>
      <c r="J160" s="46" t="n"/>
      <c r="K160" s="45" t="n"/>
      <c r="L160" s="47" t="n"/>
    </row>
    <row r="161">
      <c r="A161" s="45" t="n"/>
      <c r="B161" s="45" t="n"/>
      <c r="C161" s="47" t="n"/>
      <c r="D161" s="45" t="n"/>
      <c r="E161" s="45" t="n"/>
      <c r="F161" s="46" t="n"/>
      <c r="G161" s="46" t="n"/>
      <c r="H161" s="46" t="n"/>
      <c r="I161" s="45" t="n"/>
      <c r="J161" s="46" t="n"/>
      <c r="K161" s="45" t="n"/>
      <c r="L161" s="47" t="n"/>
    </row>
    <row r="162">
      <c r="A162" s="45" t="n"/>
      <c r="B162" s="45" t="n"/>
      <c r="C162" s="47" t="n"/>
      <c r="D162" s="45" t="n"/>
      <c r="E162" s="45" t="n"/>
      <c r="F162" s="46" t="n"/>
      <c r="G162" s="46" t="n"/>
      <c r="H162" s="46" t="n"/>
      <c r="I162" s="45" t="n"/>
      <c r="J162" s="46" t="n"/>
      <c r="K162" s="45" t="n"/>
      <c r="L162" s="47" t="n"/>
    </row>
    <row r="163">
      <c r="A163" s="45" t="n"/>
      <c r="B163" s="45" t="n"/>
      <c r="C163" s="47" t="n"/>
      <c r="D163" s="45" t="n"/>
      <c r="E163" s="45" t="n"/>
      <c r="F163" s="46" t="n"/>
      <c r="G163" s="46" t="n"/>
      <c r="H163" s="46" t="n"/>
      <c r="I163" s="45" t="n"/>
      <c r="J163" s="46" t="n"/>
      <c r="K163" s="45" t="n"/>
      <c r="L163" s="47" t="n"/>
    </row>
    <row r="164">
      <c r="A164" s="45" t="n"/>
      <c r="B164" s="45" t="n"/>
      <c r="C164" s="47" t="n"/>
      <c r="D164" s="45" t="n"/>
      <c r="E164" s="45" t="n"/>
      <c r="F164" s="46" t="n"/>
      <c r="G164" s="46" t="n"/>
      <c r="H164" s="46" t="n"/>
      <c r="I164" s="45" t="n"/>
      <c r="J164" s="46" t="n"/>
      <c r="K164" s="45" t="n"/>
      <c r="L164" s="47" t="n"/>
    </row>
    <row r="165">
      <c r="A165" s="45" t="n"/>
      <c r="B165" s="45" t="n"/>
      <c r="C165" s="47" t="n"/>
      <c r="D165" s="45" t="n"/>
      <c r="E165" s="45" t="n"/>
      <c r="F165" s="46" t="n"/>
      <c r="G165" s="46" t="n"/>
      <c r="H165" s="46" t="n"/>
      <c r="I165" s="45" t="n"/>
      <c r="J165" s="46" t="n"/>
      <c r="K165" s="45" t="n"/>
      <c r="L165" s="47" t="n"/>
    </row>
    <row r="166">
      <c r="A166" s="45" t="n"/>
      <c r="B166" s="45" t="n"/>
      <c r="C166" s="47" t="n"/>
      <c r="D166" s="45" t="n"/>
      <c r="E166" s="45" t="n"/>
      <c r="F166" s="46" t="n"/>
      <c r="G166" s="46" t="n"/>
      <c r="H166" s="46" t="n"/>
      <c r="I166" s="45" t="n"/>
      <c r="J166" s="46" t="n"/>
      <c r="K166" s="45" t="n"/>
      <c r="L166" s="47" t="n"/>
    </row>
    <row r="167">
      <c r="A167" s="45" t="n"/>
      <c r="B167" s="45" t="n"/>
      <c r="C167" s="47" t="n"/>
      <c r="D167" s="45" t="n"/>
      <c r="E167" s="45" t="n"/>
      <c r="F167" s="46" t="n"/>
      <c r="G167" s="46" t="n"/>
      <c r="H167" s="46" t="n"/>
      <c r="I167" s="45" t="n"/>
      <c r="J167" s="46" t="n"/>
      <c r="K167" s="45" t="n"/>
      <c r="L167" s="47" t="n"/>
    </row>
    <row r="168">
      <c r="A168" s="45" t="n"/>
      <c r="B168" s="45" t="n"/>
      <c r="C168" s="47" t="n"/>
      <c r="D168" s="45" t="n"/>
      <c r="E168" s="45" t="n"/>
      <c r="F168" s="46" t="n"/>
      <c r="G168" s="46" t="n"/>
      <c r="H168" s="46" t="n"/>
      <c r="I168" s="45" t="n"/>
      <c r="J168" s="46" t="n"/>
      <c r="K168" s="45" t="n"/>
      <c r="L168" s="47" t="n"/>
    </row>
    <row r="169">
      <c r="A169" s="45" t="n"/>
      <c r="B169" s="45" t="n"/>
      <c r="C169" s="47" t="n"/>
      <c r="D169" s="45" t="n"/>
      <c r="E169" s="45" t="n"/>
      <c r="F169" s="46" t="n"/>
      <c r="G169" s="46" t="n"/>
      <c r="H169" s="46" t="n"/>
      <c r="I169" s="45" t="n"/>
      <c r="J169" s="46" t="n"/>
      <c r="K169" s="45" t="n"/>
      <c r="L169" s="47" t="n"/>
    </row>
    <row r="170">
      <c r="A170" s="45" t="n"/>
      <c r="B170" s="45" t="n"/>
      <c r="C170" s="47" t="n"/>
      <c r="D170" s="45" t="n"/>
      <c r="E170" s="45" t="n"/>
      <c r="F170" s="46" t="n"/>
      <c r="G170" s="46" t="n"/>
      <c r="H170" s="46" t="n"/>
      <c r="I170" s="45" t="n"/>
      <c r="J170" s="46" t="n"/>
      <c r="K170" s="45" t="n"/>
      <c r="L170" s="47" t="n"/>
    </row>
    <row r="171">
      <c r="A171" s="45" t="n"/>
      <c r="B171" s="45" t="n"/>
      <c r="C171" s="47" t="n"/>
      <c r="D171" s="45" t="n"/>
      <c r="E171" s="45" t="n"/>
      <c r="F171" s="46" t="n"/>
      <c r="G171" s="46" t="n"/>
      <c r="H171" s="46" t="n"/>
      <c r="I171" s="45" t="n"/>
      <c r="J171" s="46" t="n"/>
      <c r="K171" s="45" t="n"/>
      <c r="L171" s="47" t="n"/>
    </row>
    <row r="172">
      <c r="A172" s="45" t="n"/>
      <c r="B172" s="45" t="n"/>
      <c r="C172" s="47" t="n"/>
      <c r="D172" s="45" t="n"/>
      <c r="E172" s="45" t="n"/>
      <c r="F172" s="46" t="n"/>
      <c r="G172" s="46" t="n"/>
      <c r="H172" s="46" t="n"/>
      <c r="I172" s="45" t="n"/>
      <c r="J172" s="46" t="n"/>
      <c r="K172" s="45" t="n"/>
      <c r="L172" s="47" t="n"/>
    </row>
    <row r="173">
      <c r="A173" s="45" t="n"/>
      <c r="B173" s="45" t="n"/>
      <c r="C173" s="47" t="n"/>
      <c r="D173" s="45" t="n"/>
      <c r="E173" s="45" t="n"/>
      <c r="F173" s="46" t="n"/>
      <c r="G173" s="46" t="n"/>
      <c r="H173" s="46" t="n"/>
      <c r="I173" s="45" t="n"/>
      <c r="J173" s="46" t="n"/>
      <c r="K173" s="45" t="n"/>
      <c r="L173" s="47" t="n"/>
    </row>
    <row r="174">
      <c r="A174" s="45" t="n"/>
      <c r="B174" s="45" t="n"/>
      <c r="C174" s="47" t="n"/>
      <c r="D174" s="45" t="n"/>
      <c r="E174" s="45" t="n"/>
      <c r="F174" s="46" t="n"/>
      <c r="G174" s="46" t="n"/>
      <c r="H174" s="46" t="n"/>
      <c r="I174" s="45" t="n"/>
      <c r="J174" s="46" t="n"/>
      <c r="K174" s="45" t="n"/>
      <c r="L174" s="47" t="n"/>
    </row>
    <row r="175">
      <c r="A175" s="45" t="n"/>
      <c r="B175" s="45" t="n"/>
      <c r="C175" s="47" t="n"/>
      <c r="D175" s="45" t="n"/>
      <c r="E175" s="45" t="n"/>
      <c r="F175" s="46" t="n"/>
      <c r="G175" s="46" t="n"/>
      <c r="H175" s="46" t="n"/>
      <c r="I175" s="45" t="n"/>
      <c r="J175" s="46" t="n"/>
      <c r="K175" s="45" t="n"/>
      <c r="L175" s="47" t="n"/>
    </row>
    <row r="176">
      <c r="A176" s="45" t="n"/>
      <c r="B176" s="45" t="n"/>
      <c r="C176" s="47" t="n"/>
      <c r="D176" s="45" t="n"/>
      <c r="E176" s="45" t="n"/>
      <c r="F176" s="46" t="n"/>
      <c r="G176" s="46" t="n"/>
      <c r="H176" s="46" t="n"/>
      <c r="I176" s="45" t="n"/>
      <c r="J176" s="46" t="n"/>
      <c r="K176" s="45" t="n"/>
      <c r="L176" s="47" t="n"/>
    </row>
    <row r="177">
      <c r="A177" s="45" t="n"/>
      <c r="B177" s="45" t="n"/>
      <c r="C177" s="47" t="n"/>
      <c r="D177" s="45" t="n"/>
      <c r="E177" s="45" t="n"/>
      <c r="F177" s="46" t="n"/>
      <c r="G177" s="46" t="n"/>
      <c r="H177" s="46" t="n"/>
      <c r="I177" s="45" t="n"/>
      <c r="J177" s="46" t="n"/>
      <c r="K177" s="45" t="n"/>
      <c r="L177" s="47" t="n"/>
    </row>
    <row r="178">
      <c r="A178" s="45" t="n"/>
      <c r="B178" s="45" t="n"/>
      <c r="C178" s="47" t="n"/>
      <c r="D178" s="45" t="n"/>
      <c r="E178" s="45" t="n"/>
      <c r="F178" s="46" t="n"/>
      <c r="G178" s="46" t="n"/>
      <c r="H178" s="46" t="n"/>
      <c r="I178" s="45" t="n"/>
      <c r="J178" s="46" t="n"/>
      <c r="K178" s="45" t="n"/>
      <c r="L178" s="47" t="n"/>
    </row>
    <row r="179">
      <c r="A179" s="45" t="n"/>
      <c r="B179" s="45" t="n"/>
      <c r="C179" s="47" t="n"/>
      <c r="D179" s="45" t="n"/>
      <c r="E179" s="45" t="n"/>
      <c r="F179" s="46" t="n"/>
      <c r="G179" s="46" t="n"/>
      <c r="H179" s="46" t="n"/>
      <c r="I179" s="45" t="n"/>
      <c r="J179" s="46" t="n"/>
      <c r="K179" s="45" t="n"/>
      <c r="L179" s="47" t="n"/>
    </row>
    <row r="180">
      <c r="A180" s="45" t="n"/>
      <c r="B180" s="45" t="n"/>
      <c r="C180" s="47" t="n"/>
      <c r="D180" s="45" t="n"/>
      <c r="E180" s="45" t="n"/>
      <c r="F180" s="46" t="n"/>
      <c r="G180" s="46" t="n"/>
      <c r="H180" s="46" t="n"/>
      <c r="I180" s="45" t="n"/>
      <c r="J180" s="46" t="n"/>
      <c r="K180" s="45" t="n"/>
      <c r="L180" s="47" t="n"/>
    </row>
    <row r="181">
      <c r="A181" s="45" t="n"/>
      <c r="B181" s="45" t="n"/>
      <c r="C181" s="47" t="n"/>
      <c r="D181" s="45" t="n"/>
      <c r="E181" s="45" t="n"/>
      <c r="F181" s="46" t="n"/>
      <c r="G181" s="46" t="n"/>
      <c r="H181" s="46" t="n"/>
      <c r="I181" s="45" t="n"/>
      <c r="J181" s="46" t="n"/>
      <c r="K181" s="45" t="n"/>
      <c r="L181" s="47" t="n"/>
    </row>
    <row r="182">
      <c r="A182" s="45" t="n"/>
      <c r="B182" s="45" t="n"/>
      <c r="C182" s="47" t="n"/>
      <c r="D182" s="45" t="n"/>
      <c r="E182" s="45" t="n"/>
      <c r="F182" s="46" t="n"/>
      <c r="G182" s="46" t="n"/>
      <c r="H182" s="46" t="n"/>
      <c r="I182" s="45" t="n"/>
      <c r="J182" s="46" t="n"/>
      <c r="K182" s="45" t="n"/>
      <c r="L182" s="47" t="n"/>
    </row>
    <row r="183">
      <c r="A183" s="45" t="n"/>
      <c r="B183" s="45" t="n"/>
      <c r="C183" s="47" t="n"/>
      <c r="D183" s="45" t="n"/>
      <c r="E183" s="45" t="n"/>
      <c r="F183" s="46" t="n"/>
      <c r="G183" s="46" t="n"/>
      <c r="H183" s="46" t="n"/>
      <c r="I183" s="45" t="n"/>
      <c r="J183" s="46" t="n"/>
      <c r="K183" s="45" t="n"/>
      <c r="L183" s="47" t="n"/>
    </row>
    <row r="184">
      <c r="A184" s="45" t="n"/>
      <c r="B184" s="45" t="n"/>
      <c r="C184" s="47" t="n"/>
      <c r="D184" s="45" t="n"/>
      <c r="E184" s="45" t="n"/>
      <c r="F184" s="46" t="n"/>
      <c r="G184" s="46" t="n"/>
      <c r="H184" s="46" t="n"/>
      <c r="I184" s="45" t="n"/>
      <c r="J184" s="46" t="n"/>
      <c r="K184" s="45" t="n"/>
      <c r="L184" s="47" t="n"/>
    </row>
    <row r="185">
      <c r="A185" s="45" t="n"/>
      <c r="B185" s="45" t="n"/>
      <c r="C185" s="47" t="n"/>
      <c r="D185" s="45" t="n"/>
      <c r="E185" s="45" t="n"/>
      <c r="F185" s="46" t="n"/>
      <c r="G185" s="46" t="n"/>
      <c r="H185" s="46" t="n"/>
      <c r="I185" s="45" t="n"/>
      <c r="J185" s="46" t="n"/>
      <c r="K185" s="45" t="n"/>
      <c r="L185" s="47" t="n"/>
    </row>
    <row r="186">
      <c r="A186" s="45" t="n"/>
      <c r="B186" s="45" t="n"/>
      <c r="C186" s="47" t="n"/>
      <c r="D186" s="45" t="n"/>
      <c r="E186" s="45" t="n"/>
      <c r="F186" s="46" t="n"/>
      <c r="G186" s="46" t="n"/>
      <c r="H186" s="46" t="n"/>
      <c r="I186" s="45" t="n"/>
      <c r="J186" s="46" t="n"/>
      <c r="K186" s="45" t="n"/>
      <c r="L186" s="47" t="n"/>
    </row>
    <row r="187">
      <c r="A187" s="45" t="n"/>
      <c r="B187" s="45" t="n"/>
      <c r="C187" s="47" t="n"/>
      <c r="D187" s="45" t="n"/>
      <c r="E187" s="45" t="n"/>
      <c r="F187" s="46" t="n"/>
      <c r="G187" s="46" t="n"/>
      <c r="H187" s="46" t="n"/>
      <c r="I187" s="45" t="n"/>
      <c r="J187" s="46" t="n"/>
      <c r="K187" s="45" t="n"/>
      <c r="L187" s="47" t="n"/>
    </row>
    <row r="188">
      <c r="A188" s="45" t="n"/>
      <c r="B188" s="45" t="n"/>
      <c r="C188" s="47" t="n"/>
      <c r="D188" s="45" t="n"/>
      <c r="E188" s="45" t="n"/>
      <c r="F188" s="46" t="n"/>
      <c r="G188" s="46" t="n"/>
      <c r="H188" s="46" t="n"/>
      <c r="I188" s="45" t="n"/>
      <c r="J188" s="46" t="n"/>
      <c r="K188" s="45" t="n"/>
      <c r="L188" s="47" t="n"/>
    </row>
    <row r="189">
      <c r="A189" s="45" t="n"/>
      <c r="B189" s="45" t="n"/>
      <c r="C189" s="47" t="n"/>
      <c r="D189" s="45" t="n"/>
      <c r="E189" s="45" t="n"/>
      <c r="F189" s="46" t="n"/>
      <c r="G189" s="46" t="n"/>
      <c r="H189" s="46" t="n"/>
      <c r="I189" s="45" t="n"/>
      <c r="J189" s="46" t="n"/>
      <c r="K189" s="45" t="n"/>
      <c r="L189" s="47" t="n"/>
    </row>
    <row r="190">
      <c r="A190" s="45" t="n"/>
      <c r="B190" s="45" t="n"/>
      <c r="C190" s="47" t="n"/>
      <c r="D190" s="45" t="n"/>
      <c r="E190" s="45" t="n"/>
      <c r="F190" s="46" t="n"/>
      <c r="G190" s="46" t="n"/>
      <c r="H190" s="46" t="n"/>
      <c r="I190" s="45" t="n"/>
      <c r="J190" s="46" t="n"/>
      <c r="K190" s="45" t="n"/>
      <c r="L190" s="47" t="n"/>
    </row>
    <row r="191">
      <c r="A191" s="45" t="n"/>
      <c r="B191" s="45" t="n"/>
      <c r="C191" s="47" t="n"/>
      <c r="D191" s="45" t="n"/>
      <c r="E191" s="45" t="n"/>
      <c r="F191" s="46" t="n"/>
      <c r="G191" s="46" t="n"/>
      <c r="H191" s="46" t="n"/>
      <c r="I191" s="45" t="n"/>
      <c r="J191" s="46" t="n"/>
      <c r="K191" s="45" t="n"/>
      <c r="L191" s="47" t="n"/>
    </row>
    <row r="192">
      <c r="A192" s="45" t="n"/>
      <c r="B192" s="45" t="n"/>
      <c r="C192" s="47" t="n"/>
      <c r="D192" s="45" t="n"/>
      <c r="E192" s="45" t="n"/>
      <c r="F192" s="46" t="n"/>
      <c r="G192" s="46" t="n"/>
      <c r="H192" s="46" t="n"/>
      <c r="I192" s="45" t="n"/>
      <c r="J192" s="46" t="n"/>
      <c r="K192" s="45" t="n"/>
      <c r="L192" s="47" t="n"/>
    </row>
    <row r="193">
      <c r="A193" s="45" t="n"/>
      <c r="B193" s="45" t="n"/>
      <c r="C193" s="47" t="n"/>
      <c r="D193" s="45" t="n"/>
      <c r="E193" s="45" t="n"/>
      <c r="F193" s="46" t="n"/>
      <c r="G193" s="46" t="n"/>
      <c r="H193" s="46" t="n"/>
      <c r="I193" s="45" t="n"/>
      <c r="J193" s="46" t="n"/>
      <c r="K193" s="45" t="n"/>
      <c r="L193" s="47" t="n"/>
    </row>
    <row r="194">
      <c r="A194" s="45" t="n"/>
      <c r="B194" s="45" t="n"/>
      <c r="C194" s="47" t="n"/>
      <c r="D194" s="45" t="n"/>
      <c r="E194" s="45" t="n"/>
      <c r="F194" s="46" t="n"/>
      <c r="G194" s="46" t="n"/>
      <c r="H194" s="46" t="n"/>
      <c r="I194" s="45" t="n"/>
      <c r="J194" s="46" t="n"/>
      <c r="K194" s="45" t="n"/>
      <c r="L194" s="47" t="n"/>
    </row>
    <row r="195">
      <c r="A195" s="45" t="n"/>
      <c r="B195" s="45" t="n"/>
      <c r="C195" s="47" t="n"/>
      <c r="D195" s="45" t="n"/>
      <c r="E195" s="45" t="n"/>
      <c r="F195" s="46" t="n"/>
      <c r="G195" s="46" t="n"/>
      <c r="H195" s="46" t="n"/>
      <c r="I195" s="45" t="n"/>
      <c r="J195" s="46" t="n"/>
      <c r="K195" s="45" t="n"/>
      <c r="L195" s="47" t="n"/>
    </row>
    <row r="196">
      <c r="A196" s="45" t="n"/>
      <c r="B196" s="45" t="n"/>
      <c r="C196" s="47" t="n"/>
      <c r="D196" s="45" t="n"/>
      <c r="E196" s="45" t="n"/>
      <c r="F196" s="46" t="n"/>
      <c r="G196" s="46" t="n"/>
      <c r="H196" s="46" t="n"/>
      <c r="I196" s="45" t="n"/>
      <c r="J196" s="46" t="n"/>
      <c r="K196" s="45" t="n"/>
      <c r="L196" s="47" t="n"/>
    </row>
    <row r="197">
      <c r="A197" s="45" t="n"/>
      <c r="B197" s="45" t="n"/>
      <c r="C197" s="47" t="n"/>
      <c r="D197" s="45" t="n"/>
      <c r="E197" s="45" t="n"/>
      <c r="F197" s="46" t="n"/>
      <c r="G197" s="46" t="n"/>
      <c r="H197" s="46" t="n"/>
      <c r="I197" s="45" t="n"/>
      <c r="J197" s="46" t="n"/>
      <c r="K197" s="45" t="n"/>
      <c r="L197" s="47" t="n"/>
    </row>
    <row r="198">
      <c r="A198" s="45" t="n"/>
      <c r="B198" s="45" t="n"/>
      <c r="C198" s="47" t="n"/>
      <c r="D198" s="45" t="n"/>
      <c r="E198" s="45" t="n"/>
      <c r="F198" s="46" t="n"/>
      <c r="G198" s="46" t="n"/>
      <c r="H198" s="46" t="n"/>
      <c r="I198" s="45" t="n"/>
      <c r="J198" s="46" t="n"/>
      <c r="K198" s="45" t="n"/>
      <c r="L198" s="47" t="n"/>
    </row>
    <row r="199">
      <c r="A199" s="45" t="n"/>
      <c r="B199" s="45" t="n"/>
      <c r="C199" s="47" t="n"/>
      <c r="D199" s="45" t="n"/>
      <c r="E199" s="45" t="n"/>
      <c r="F199" s="46" t="n"/>
      <c r="G199" s="46" t="n"/>
      <c r="H199" s="46" t="n"/>
      <c r="I199" s="45" t="n"/>
      <c r="J199" s="46" t="n"/>
      <c r="K199" s="45" t="n"/>
      <c r="L199" s="47" t="n"/>
    </row>
    <row r="200">
      <c r="A200" s="45" t="n"/>
      <c r="B200" s="45" t="n"/>
      <c r="C200" s="47" t="n"/>
      <c r="D200" s="45" t="n"/>
      <c r="E200" s="45" t="n"/>
      <c r="F200" s="46" t="n"/>
      <c r="G200" s="46" t="n"/>
      <c r="H200" s="46" t="n"/>
      <c r="I200" s="45" t="n"/>
      <c r="J200" s="46" t="n"/>
      <c r="K200" s="45" t="n"/>
      <c r="L200" s="47" t="n"/>
    </row>
    <row r="201">
      <c r="A201" s="45" t="n"/>
      <c r="B201" s="45" t="n"/>
      <c r="C201" s="47" t="n"/>
      <c r="D201" s="45" t="n"/>
      <c r="E201" s="45" t="n"/>
      <c r="F201" s="46" t="n"/>
      <c r="G201" s="46" t="n"/>
      <c r="H201" s="46" t="n"/>
      <c r="I201" s="45" t="n"/>
      <c r="J201" s="46" t="n"/>
      <c r="K201" s="45" t="n"/>
      <c r="L201" s="47" t="n"/>
    </row>
    <row r="202">
      <c r="A202" s="45" t="n"/>
      <c r="B202" s="45" t="n"/>
      <c r="C202" s="47" t="n"/>
      <c r="D202" s="45" t="n"/>
      <c r="E202" s="45" t="n"/>
      <c r="F202" s="46" t="n"/>
      <c r="G202" s="46" t="n"/>
      <c r="H202" s="46" t="n"/>
      <c r="I202" s="45" t="n"/>
      <c r="J202" s="46" t="n"/>
      <c r="K202" s="45" t="n"/>
      <c r="L202" s="47" t="n"/>
    </row>
    <row r="203">
      <c r="A203" s="45" t="n"/>
      <c r="B203" s="45" t="n"/>
      <c r="C203" s="47" t="n"/>
      <c r="D203" s="45" t="n"/>
      <c r="E203" s="45" t="n"/>
      <c r="F203" s="46" t="n"/>
      <c r="G203" s="46" t="n"/>
      <c r="H203" s="46" t="n"/>
      <c r="I203" s="45" t="n"/>
      <c r="J203" s="46" t="n"/>
      <c r="K203" s="45" t="n"/>
      <c r="L203" s="47" t="n"/>
    </row>
    <row r="204">
      <c r="A204" s="45" t="n"/>
      <c r="B204" s="45" t="n"/>
      <c r="C204" s="47" t="n"/>
      <c r="D204" s="45" t="n"/>
      <c r="E204" s="45" t="n"/>
      <c r="F204" s="46" t="n"/>
      <c r="G204" s="46" t="n"/>
      <c r="H204" s="46" t="n"/>
      <c r="I204" s="45" t="n"/>
      <c r="J204" s="46" t="n"/>
      <c r="K204" s="45" t="n"/>
      <c r="L204" s="47" t="n"/>
    </row>
    <row r="205">
      <c r="A205" s="45" t="n"/>
      <c r="B205" s="45" t="n"/>
      <c r="C205" s="47" t="n"/>
      <c r="D205" s="45" t="n"/>
      <c r="E205" s="45" t="n"/>
      <c r="F205" s="46" t="n"/>
      <c r="G205" s="46" t="n"/>
      <c r="H205" s="46" t="n"/>
      <c r="I205" s="45" t="n"/>
      <c r="J205" s="46" t="n"/>
      <c r="K205" s="45" t="n"/>
      <c r="L205" s="47" t="n"/>
    </row>
    <row r="206">
      <c r="A206" s="45" t="n"/>
      <c r="B206" s="45" t="n"/>
      <c r="C206" s="47" t="n"/>
      <c r="D206" s="45" t="n"/>
      <c r="E206" s="45" t="n"/>
      <c r="F206" s="46" t="n"/>
      <c r="G206" s="46" t="n"/>
      <c r="H206" s="46" t="n"/>
      <c r="I206" s="45" t="n"/>
      <c r="J206" s="46" t="n"/>
      <c r="K206" s="45" t="n"/>
      <c r="L206" s="47" t="n"/>
    </row>
    <row r="207">
      <c r="A207" s="45" t="n"/>
      <c r="B207" s="45" t="n"/>
      <c r="C207" s="47" t="n"/>
      <c r="D207" s="45" t="n"/>
      <c r="E207" s="45" t="n"/>
      <c r="F207" s="46" t="n"/>
      <c r="G207" s="46" t="n"/>
      <c r="H207" s="46" t="n"/>
      <c r="I207" s="45" t="n"/>
      <c r="J207" s="46" t="n"/>
      <c r="K207" s="45" t="n"/>
      <c r="L207" s="47" t="n"/>
    </row>
    <row r="208">
      <c r="A208" s="45" t="n"/>
      <c r="B208" s="45" t="n"/>
      <c r="C208" s="47" t="n"/>
      <c r="D208" s="45" t="n"/>
      <c r="E208" s="45" t="n"/>
      <c r="F208" s="46" t="n"/>
      <c r="G208" s="46" t="n"/>
      <c r="H208" s="46" t="n"/>
      <c r="I208" s="45" t="n"/>
      <c r="J208" s="46" t="n"/>
      <c r="K208" s="45" t="n"/>
      <c r="L208" s="47" t="n"/>
    </row>
    <row r="209">
      <c r="A209" s="45" t="n"/>
      <c r="B209" s="45" t="n"/>
      <c r="C209" s="47" t="n"/>
      <c r="D209" s="45" t="n"/>
      <c r="E209" s="45" t="n"/>
      <c r="F209" s="46" t="n"/>
      <c r="G209" s="46" t="n"/>
      <c r="H209" s="46" t="n"/>
      <c r="I209" s="45" t="n"/>
      <c r="J209" s="46" t="n"/>
      <c r="K209" s="45" t="n"/>
      <c r="L209" s="47" t="n"/>
    </row>
    <row r="210">
      <c r="A210" s="45" t="n"/>
      <c r="B210" s="45" t="n"/>
      <c r="C210" s="47" t="n"/>
      <c r="D210" s="45" t="n"/>
      <c r="E210" s="45" t="n"/>
      <c r="F210" s="46" t="n"/>
      <c r="G210" s="46" t="n"/>
      <c r="H210" s="46" t="n"/>
      <c r="I210" s="45" t="n"/>
      <c r="J210" s="46" t="n"/>
      <c r="K210" s="45" t="n"/>
      <c r="L210" s="47" t="n"/>
    </row>
    <row r="211">
      <c r="A211" s="45" t="n"/>
      <c r="B211" s="45" t="n"/>
      <c r="C211" s="47" t="n"/>
      <c r="D211" s="45" t="n"/>
      <c r="E211" s="45" t="n"/>
      <c r="F211" s="46" t="n"/>
      <c r="G211" s="46" t="n"/>
      <c r="H211" s="46" t="n"/>
      <c r="I211" s="45" t="n"/>
      <c r="J211" s="46" t="n"/>
      <c r="K211" s="45" t="n"/>
      <c r="L211" s="47" t="n"/>
    </row>
    <row r="212">
      <c r="A212" s="45" t="n"/>
      <c r="B212" s="45" t="n"/>
      <c r="C212" s="47" t="n"/>
      <c r="D212" s="45" t="n"/>
      <c r="E212" s="45" t="n"/>
      <c r="F212" s="46" t="n"/>
      <c r="G212" s="46" t="n"/>
      <c r="H212" s="46" t="n"/>
      <c r="I212" s="45" t="n"/>
      <c r="J212" s="46" t="n"/>
      <c r="K212" s="45" t="n"/>
      <c r="L212" s="47" t="n"/>
    </row>
    <row r="213">
      <c r="A213" s="45" t="n"/>
      <c r="B213" s="45" t="n"/>
      <c r="C213" s="47" t="n"/>
      <c r="D213" s="45" t="n"/>
      <c r="E213" s="45" t="n"/>
      <c r="F213" s="46" t="n"/>
      <c r="G213" s="46" t="n"/>
      <c r="H213" s="46" t="n"/>
      <c r="I213" s="45" t="n"/>
      <c r="J213" s="46" t="n"/>
      <c r="K213" s="45" t="n"/>
      <c r="L213" s="47" t="n"/>
    </row>
    <row r="214">
      <c r="A214" s="45" t="n"/>
      <c r="B214" s="45" t="n"/>
      <c r="C214" s="47" t="n"/>
      <c r="D214" s="45" t="n"/>
      <c r="E214" s="45" t="n"/>
      <c r="F214" s="46" t="n"/>
      <c r="G214" s="46" t="n"/>
      <c r="H214" s="46" t="n"/>
      <c r="I214" s="45" t="n"/>
      <c r="J214" s="46" t="n"/>
      <c r="K214" s="45" t="n"/>
      <c r="L214" s="47" t="n"/>
    </row>
    <row r="215">
      <c r="A215" s="45" t="n"/>
      <c r="B215" s="45" t="n"/>
      <c r="C215" s="47" t="n"/>
      <c r="D215" s="45" t="n"/>
      <c r="E215" s="45" t="n"/>
      <c r="F215" s="46" t="n"/>
      <c r="G215" s="46" t="n"/>
      <c r="H215" s="46" t="n"/>
      <c r="I215" s="45" t="n"/>
      <c r="J215" s="46" t="n"/>
      <c r="K215" s="45" t="n"/>
      <c r="L215" s="47" t="n"/>
    </row>
    <row r="216">
      <c r="A216" s="45" t="n"/>
      <c r="B216" s="45" t="n"/>
      <c r="C216" s="47" t="n"/>
      <c r="D216" s="45" t="n"/>
      <c r="E216" s="45" t="n"/>
      <c r="F216" s="46" t="n"/>
      <c r="G216" s="46" t="n"/>
      <c r="H216" s="46" t="n"/>
      <c r="I216" s="45" t="n"/>
      <c r="J216" s="46" t="n"/>
      <c r="K216" s="45" t="n"/>
      <c r="L216" s="47" t="n"/>
    </row>
    <row r="217">
      <c r="A217" s="45" t="n"/>
      <c r="B217" s="45" t="n"/>
      <c r="C217" s="47" t="n"/>
      <c r="D217" s="45" t="n"/>
      <c r="E217" s="45" t="n"/>
      <c r="F217" s="46" t="n"/>
      <c r="G217" s="46" t="n"/>
      <c r="H217" s="46" t="n"/>
      <c r="I217" s="45" t="n"/>
      <c r="J217" s="46" t="n"/>
      <c r="K217" s="45" t="n"/>
      <c r="L217" s="47" t="n"/>
    </row>
    <row r="218">
      <c r="A218" s="45" t="n"/>
      <c r="B218" s="45" t="n"/>
      <c r="C218" s="47" t="n"/>
      <c r="D218" s="45" t="n"/>
      <c r="E218" s="45" t="n"/>
      <c r="F218" s="46" t="n"/>
      <c r="G218" s="46" t="n"/>
      <c r="H218" s="46" t="n"/>
      <c r="I218" s="45" t="n"/>
      <c r="J218" s="46" t="n"/>
      <c r="K218" s="45" t="n"/>
      <c r="L218" s="47" t="n"/>
    </row>
    <row r="219">
      <c r="A219" s="45" t="n"/>
      <c r="B219" s="45" t="n"/>
      <c r="C219" s="47" t="n"/>
      <c r="D219" s="45" t="n"/>
      <c r="E219" s="45" t="n"/>
      <c r="F219" s="46" t="n"/>
      <c r="G219" s="46" t="n"/>
      <c r="H219" s="46" t="n"/>
      <c r="I219" s="45" t="n"/>
      <c r="J219" s="46" t="n"/>
      <c r="K219" s="45" t="n"/>
      <c r="L219" s="47" t="n"/>
    </row>
    <row r="220">
      <c r="A220" s="45" t="n"/>
      <c r="B220" s="45" t="n"/>
      <c r="C220" s="47" t="n"/>
      <c r="D220" s="45" t="n"/>
      <c r="E220" s="45" t="n"/>
      <c r="F220" s="46" t="n"/>
      <c r="G220" s="46" t="n"/>
      <c r="H220" s="46" t="n"/>
      <c r="I220" s="45" t="n"/>
      <c r="J220" s="46" t="n"/>
      <c r="K220" s="45" t="n"/>
      <c r="L220" s="47" t="n"/>
    </row>
    <row r="221">
      <c r="A221" s="45" t="n"/>
      <c r="B221" s="45" t="n"/>
      <c r="C221" s="47" t="n"/>
      <c r="D221" s="45" t="n"/>
      <c r="E221" s="45" t="n"/>
      <c r="F221" s="46" t="n"/>
      <c r="G221" s="46" t="n"/>
      <c r="H221" s="46" t="n"/>
      <c r="I221" s="45" t="n"/>
      <c r="J221" s="46" t="n"/>
      <c r="K221" s="45" t="n"/>
      <c r="L221" s="47" t="n"/>
    </row>
    <row r="222">
      <c r="A222" s="45" t="n"/>
      <c r="B222" s="45" t="n"/>
      <c r="C222" s="47" t="n"/>
      <c r="D222" s="45" t="n"/>
      <c r="E222" s="45" t="n"/>
      <c r="F222" s="46" t="n"/>
      <c r="G222" s="46" t="n"/>
      <c r="H222" s="46" t="n"/>
      <c r="I222" s="45" t="n"/>
      <c r="J222" s="46" t="n"/>
      <c r="K222" s="45" t="n"/>
      <c r="L222" s="47" t="n"/>
    </row>
    <row r="223">
      <c r="A223" s="45" t="n"/>
      <c r="B223" s="45" t="n"/>
      <c r="C223" s="47" t="n"/>
      <c r="D223" s="45" t="n"/>
      <c r="E223" s="45" t="n"/>
      <c r="F223" s="46" t="n"/>
      <c r="G223" s="46" t="n"/>
      <c r="H223" s="46" t="n"/>
      <c r="I223" s="45" t="n"/>
      <c r="J223" s="46" t="n"/>
      <c r="K223" s="45" t="n"/>
      <c r="L223" s="47" t="n"/>
    </row>
    <row r="224">
      <c r="A224" s="45" t="n"/>
      <c r="B224" s="45" t="n"/>
      <c r="C224" s="47" t="n"/>
      <c r="D224" s="45" t="n"/>
      <c r="E224" s="45" t="n"/>
      <c r="F224" s="46" t="n"/>
      <c r="G224" s="46" t="n"/>
      <c r="H224" s="46" t="n"/>
      <c r="I224" s="45" t="n"/>
      <c r="J224" s="46" t="n"/>
      <c r="K224" s="45" t="n"/>
      <c r="L224" s="47" t="n"/>
    </row>
    <row r="225">
      <c r="A225" s="45" t="n"/>
      <c r="B225" s="45" t="n"/>
      <c r="C225" s="47" t="n"/>
      <c r="D225" s="45" t="n"/>
      <c r="E225" s="45" t="n"/>
      <c r="F225" s="46" t="n"/>
      <c r="G225" s="46" t="n"/>
      <c r="H225" s="46" t="n"/>
      <c r="I225" s="45" t="n"/>
      <c r="J225" s="46" t="n"/>
      <c r="K225" s="45" t="n"/>
      <c r="L225" s="47" t="n"/>
    </row>
    <row r="226">
      <c r="A226" s="45" t="n"/>
      <c r="B226" s="45" t="n"/>
      <c r="C226" s="47" t="n"/>
      <c r="D226" s="45" t="n"/>
      <c r="E226" s="45" t="n"/>
      <c r="F226" s="46" t="n"/>
      <c r="G226" s="46" t="n"/>
      <c r="H226" s="46" t="n"/>
      <c r="I226" s="45" t="n"/>
      <c r="J226" s="46" t="n"/>
      <c r="K226" s="45" t="n"/>
      <c r="L226" s="47" t="n"/>
    </row>
    <row r="227">
      <c r="A227" s="45" t="n"/>
      <c r="B227" s="45" t="n"/>
      <c r="C227" s="47" t="n"/>
      <c r="D227" s="45" t="n"/>
      <c r="E227" s="45" t="n"/>
      <c r="F227" s="46" t="n"/>
      <c r="G227" s="46" t="n"/>
      <c r="H227" s="46" t="n"/>
      <c r="I227" s="45" t="n"/>
      <c r="J227" s="46" t="n"/>
      <c r="K227" s="45" t="n"/>
      <c r="L227" s="47" t="n"/>
    </row>
    <row r="228">
      <c r="A228" s="45" t="n"/>
      <c r="B228" s="45" t="n"/>
      <c r="C228" s="47" t="n"/>
      <c r="D228" s="45" t="n"/>
      <c r="E228" s="45" t="n"/>
      <c r="F228" s="46" t="n"/>
      <c r="G228" s="46" t="n"/>
      <c r="H228" s="46" t="n"/>
      <c r="I228" s="45" t="n"/>
      <c r="J228" s="46" t="n"/>
      <c r="K228" s="45" t="n"/>
      <c r="L228" s="47" t="n"/>
    </row>
    <row r="229">
      <c r="A229" s="45" t="n"/>
      <c r="B229" s="45" t="n"/>
      <c r="C229" s="47" t="n"/>
      <c r="D229" s="45" t="n"/>
      <c r="E229" s="45" t="n"/>
      <c r="F229" s="46" t="n"/>
      <c r="G229" s="46" t="n"/>
      <c r="H229" s="46" t="n"/>
      <c r="I229" s="45" t="n"/>
      <c r="J229" s="46" t="n"/>
      <c r="K229" s="45" t="n"/>
      <c r="L229" s="47" t="n"/>
    </row>
    <row r="230">
      <c r="A230" s="45" t="n"/>
      <c r="B230" s="45" t="n"/>
      <c r="C230" s="47" t="n"/>
      <c r="D230" s="45" t="n"/>
      <c r="E230" s="45" t="n"/>
      <c r="F230" s="46" t="n"/>
      <c r="G230" s="46" t="n"/>
      <c r="H230" s="46" t="n"/>
      <c r="I230" s="45" t="n"/>
      <c r="J230" s="46" t="n"/>
      <c r="K230" s="45" t="n"/>
      <c r="L230" s="47" t="n"/>
    </row>
    <row r="231">
      <c r="A231" s="45" t="n"/>
      <c r="B231" s="45" t="n"/>
      <c r="C231" s="47" t="n"/>
      <c r="D231" s="45" t="n"/>
      <c r="E231" s="45" t="n"/>
      <c r="F231" s="46" t="n"/>
      <c r="G231" s="46" t="n"/>
      <c r="H231" s="46" t="n"/>
      <c r="I231" s="45" t="n"/>
      <c r="J231" s="46" t="n"/>
      <c r="K231" s="45" t="n"/>
      <c r="L231" s="47" t="n"/>
    </row>
    <row r="232">
      <c r="A232" s="45" t="n"/>
      <c r="B232" s="45" t="n"/>
      <c r="C232" s="47" t="n"/>
      <c r="D232" s="45" t="n"/>
      <c r="E232" s="45" t="n"/>
      <c r="F232" s="46" t="n"/>
      <c r="G232" s="46" t="n"/>
      <c r="H232" s="46" t="n"/>
      <c r="I232" s="45" t="n"/>
      <c r="J232" s="46" t="n"/>
      <c r="K232" s="45" t="n"/>
      <c r="L232" s="47" t="n"/>
    </row>
    <row r="233">
      <c r="A233" s="45" t="n"/>
      <c r="B233" s="45" t="n"/>
      <c r="C233" s="47" t="n"/>
      <c r="D233" s="45" t="n"/>
      <c r="E233" s="45" t="n"/>
      <c r="F233" s="46" t="n"/>
      <c r="G233" s="46" t="n"/>
      <c r="H233" s="46" t="n"/>
      <c r="I233" s="45" t="n"/>
      <c r="J233" s="46" t="n"/>
      <c r="K233" s="45" t="n"/>
      <c r="L233" s="47" t="n"/>
    </row>
    <row r="234">
      <c r="A234" s="45" t="n"/>
      <c r="B234" s="45" t="n"/>
      <c r="C234" s="47" t="n"/>
      <c r="D234" s="45" t="n"/>
      <c r="E234" s="45" t="n"/>
      <c r="F234" s="46" t="n"/>
      <c r="G234" s="46" t="n"/>
      <c r="H234" s="46" t="n"/>
      <c r="I234" s="45" t="n"/>
      <c r="J234" s="46" t="n"/>
      <c r="K234" s="45" t="n"/>
      <c r="L234" s="47" t="n"/>
    </row>
    <row r="235">
      <c r="A235" s="45" t="n"/>
      <c r="B235" s="45" t="n"/>
      <c r="C235" s="47" t="n"/>
      <c r="D235" s="45" t="n"/>
      <c r="E235" s="45" t="n"/>
      <c r="F235" s="46" t="n"/>
      <c r="G235" s="46" t="n"/>
      <c r="H235" s="46" t="n"/>
      <c r="I235" s="45" t="n"/>
      <c r="J235" s="46" t="n"/>
      <c r="K235" s="45" t="n"/>
      <c r="L235" s="47" t="n"/>
    </row>
    <row r="236">
      <c r="A236" s="45" t="n"/>
      <c r="B236" s="45" t="n"/>
      <c r="C236" s="47" t="n"/>
      <c r="D236" s="45" t="n"/>
      <c r="E236" s="45" t="n"/>
      <c r="F236" s="46" t="n"/>
      <c r="G236" s="46" t="n"/>
      <c r="H236" s="46" t="n"/>
      <c r="I236" s="45" t="n"/>
      <c r="J236" s="46" t="n"/>
      <c r="K236" s="45" t="n"/>
      <c r="L236" s="47" t="n"/>
    </row>
    <row r="237">
      <c r="A237" s="45" t="n"/>
      <c r="B237" s="45" t="n"/>
      <c r="C237" s="47" t="n"/>
      <c r="D237" s="45" t="n"/>
      <c r="E237" s="45" t="n"/>
      <c r="F237" s="46" t="n"/>
      <c r="G237" s="46" t="n"/>
      <c r="H237" s="46" t="n"/>
      <c r="I237" s="45" t="n"/>
      <c r="J237" s="46" t="n"/>
      <c r="K237" s="45" t="n"/>
      <c r="L237" s="47" t="n"/>
    </row>
    <row r="238">
      <c r="A238" s="45" t="n"/>
      <c r="B238" s="45" t="n"/>
      <c r="C238" s="47" t="n"/>
      <c r="D238" s="45" t="n"/>
      <c r="E238" s="45" t="n"/>
      <c r="F238" s="46" t="n"/>
      <c r="G238" s="46" t="n"/>
      <c r="H238" s="46" t="n"/>
      <c r="I238" s="45" t="n"/>
      <c r="J238" s="46" t="n"/>
      <c r="K238" s="45" t="n"/>
      <c r="L238" s="47" t="n"/>
    </row>
    <row r="239">
      <c r="A239" s="45" t="n"/>
      <c r="B239" s="45" t="n"/>
      <c r="C239" s="47" t="n"/>
      <c r="D239" s="45" t="n"/>
      <c r="E239" s="45" t="n"/>
      <c r="F239" s="46" t="n"/>
      <c r="G239" s="46" t="n"/>
      <c r="H239" s="46" t="n"/>
      <c r="I239" s="45" t="n"/>
      <c r="J239" s="46" t="n"/>
      <c r="K239" s="45" t="n"/>
      <c r="L239" s="47" t="n"/>
    </row>
    <row r="240">
      <c r="A240" s="45" t="n"/>
      <c r="B240" s="45" t="n"/>
      <c r="C240" s="47" t="n"/>
      <c r="D240" s="45" t="n"/>
      <c r="E240" s="45" t="n"/>
      <c r="F240" s="46" t="n"/>
      <c r="G240" s="46" t="n"/>
      <c r="H240" s="46" t="n"/>
      <c r="I240" s="45" t="n"/>
      <c r="J240" s="46" t="n"/>
      <c r="K240" s="45" t="n"/>
      <c r="L240" s="47" t="n"/>
    </row>
    <row r="241">
      <c r="A241" s="45" t="n"/>
      <c r="B241" s="45" t="n"/>
      <c r="C241" s="47" t="n"/>
      <c r="D241" s="45" t="n"/>
      <c r="E241" s="45" t="n"/>
      <c r="F241" s="46" t="n"/>
      <c r="G241" s="46" t="n"/>
      <c r="H241" s="46" t="n"/>
      <c r="I241" s="45" t="n"/>
      <c r="J241" s="46" t="n"/>
      <c r="K241" s="45" t="n"/>
      <c r="L241" s="47" t="n"/>
    </row>
    <row r="242">
      <c r="A242" s="45" t="n"/>
      <c r="B242" s="45" t="n"/>
      <c r="C242" s="47" t="n"/>
      <c r="D242" s="45" t="n"/>
      <c r="E242" s="45" t="n"/>
      <c r="F242" s="46" t="n"/>
      <c r="G242" s="46" t="n"/>
      <c r="H242" s="46" t="n"/>
      <c r="I242" s="45" t="n"/>
      <c r="J242" s="46" t="n"/>
      <c r="K242" s="45" t="n"/>
      <c r="L242" s="47" t="n"/>
    </row>
    <row r="243">
      <c r="A243" s="45" t="n"/>
      <c r="B243" s="45" t="n"/>
      <c r="C243" s="47" t="n"/>
      <c r="D243" s="45" t="n"/>
      <c r="E243" s="45" t="n"/>
      <c r="F243" s="46" t="n"/>
      <c r="G243" s="46" t="n"/>
      <c r="H243" s="46" t="n"/>
      <c r="I243" s="45" t="n"/>
      <c r="J243" s="46" t="n"/>
      <c r="K243" s="45" t="n"/>
      <c r="L243" s="47" t="n"/>
    </row>
    <row r="244">
      <c r="A244" s="45" t="n"/>
      <c r="B244" s="45" t="n"/>
      <c r="C244" s="47" t="n"/>
      <c r="D244" s="45" t="n"/>
      <c r="E244" s="45" t="n"/>
      <c r="F244" s="46" t="n"/>
      <c r="G244" s="46" t="n"/>
      <c r="H244" s="46" t="n"/>
      <c r="I244" s="45" t="n"/>
      <c r="J244" s="46" t="n"/>
      <c r="K244" s="45" t="n"/>
      <c r="L244" s="47" t="n"/>
    </row>
    <row r="245">
      <c r="A245" s="45" t="n"/>
      <c r="B245" s="45" t="n"/>
      <c r="C245" s="47" t="n"/>
      <c r="D245" s="45" t="n"/>
      <c r="E245" s="45" t="n"/>
      <c r="F245" s="46" t="n"/>
      <c r="G245" s="46" t="n"/>
      <c r="H245" s="46" t="n"/>
      <c r="I245" s="45" t="n"/>
      <c r="J245" s="46" t="n"/>
      <c r="K245" s="45" t="n"/>
      <c r="L245" s="47" t="n"/>
    </row>
    <row r="246">
      <c r="A246" s="45" t="n"/>
      <c r="B246" s="45" t="n"/>
      <c r="C246" s="47" t="n"/>
      <c r="D246" s="45" t="n"/>
      <c r="E246" s="45" t="n"/>
      <c r="F246" s="46" t="n"/>
      <c r="G246" s="46" t="n"/>
      <c r="H246" s="46" t="n"/>
      <c r="I246" s="45" t="n"/>
      <c r="J246" s="46" t="n"/>
      <c r="K246" s="45" t="n"/>
      <c r="L246" s="47" t="n"/>
    </row>
    <row r="247">
      <c r="A247" s="45" t="n"/>
      <c r="B247" s="45" t="n"/>
      <c r="C247" s="47" t="n"/>
      <c r="D247" s="45" t="n"/>
      <c r="E247" s="45" t="n"/>
      <c r="F247" s="46" t="n"/>
      <c r="G247" s="46" t="n"/>
      <c r="H247" s="46" t="n"/>
      <c r="I247" s="45" t="n"/>
      <c r="J247" s="46" t="n"/>
      <c r="K247" s="45" t="n"/>
      <c r="L247" s="47" t="n"/>
    </row>
    <row r="248">
      <c r="A248" s="45" t="n"/>
      <c r="B248" s="45" t="n"/>
      <c r="C248" s="47" t="n"/>
      <c r="D248" s="45" t="n"/>
      <c r="E248" s="45" t="n"/>
      <c r="F248" s="46" t="n"/>
      <c r="G248" s="46" t="n"/>
      <c r="H248" s="46" t="n"/>
      <c r="I248" s="45" t="n"/>
      <c r="J248" s="46" t="n"/>
      <c r="K248" s="45" t="n"/>
      <c r="L248" s="47" t="n"/>
    </row>
    <row r="249">
      <c r="A249" s="45" t="n"/>
      <c r="B249" s="45" t="n"/>
      <c r="C249" s="47" t="n"/>
      <c r="D249" s="45" t="n"/>
      <c r="E249" s="45" t="n"/>
      <c r="F249" s="46" t="n"/>
      <c r="G249" s="46" t="n"/>
      <c r="H249" s="46" t="n"/>
      <c r="I249" s="45" t="n"/>
      <c r="J249" s="46" t="n"/>
      <c r="K249" s="45" t="n"/>
      <c r="L249" s="47" t="n"/>
    </row>
    <row r="250">
      <c r="A250" s="45" t="n"/>
      <c r="B250" s="45" t="n"/>
      <c r="C250" s="47" t="n"/>
      <c r="D250" s="45" t="n"/>
      <c r="E250" s="45" t="n"/>
      <c r="F250" s="46" t="n"/>
      <c r="G250" s="46" t="n"/>
      <c r="H250" s="46" t="n"/>
      <c r="I250" s="45" t="n"/>
      <c r="J250" s="46" t="n"/>
      <c r="K250" s="45" t="n"/>
      <c r="L250" s="47" t="n"/>
    </row>
    <row r="251">
      <c r="A251" s="45" t="n"/>
      <c r="B251" s="45" t="n"/>
      <c r="C251" s="47" t="n"/>
      <c r="D251" s="45" t="n"/>
      <c r="E251" s="45" t="n"/>
      <c r="F251" s="46" t="n"/>
      <c r="G251" s="46" t="n"/>
      <c r="H251" s="46" t="n"/>
      <c r="I251" s="45" t="n"/>
      <c r="J251" s="46" t="n"/>
      <c r="K251" s="45" t="n"/>
      <c r="L251" s="47" t="n"/>
    </row>
    <row r="252">
      <c r="A252" s="45" t="n"/>
      <c r="B252" s="45" t="n"/>
      <c r="C252" s="47" t="n"/>
      <c r="D252" s="45" t="n"/>
      <c r="E252" s="45" t="n"/>
      <c r="F252" s="46" t="n"/>
      <c r="G252" s="46" t="n"/>
      <c r="H252" s="46" t="n"/>
      <c r="I252" s="45" t="n"/>
      <c r="J252" s="46" t="n"/>
      <c r="K252" s="45" t="n"/>
      <c r="L252" s="47" t="n"/>
    </row>
    <row r="253">
      <c r="A253" s="45" t="n"/>
      <c r="B253" s="45" t="n"/>
      <c r="C253" s="47" t="n"/>
      <c r="D253" s="45" t="n"/>
      <c r="E253" s="45" t="n"/>
      <c r="F253" s="46" t="n"/>
      <c r="G253" s="46" t="n"/>
      <c r="H253" s="46" t="n"/>
      <c r="I253" s="45" t="n"/>
      <c r="J253" s="46" t="n"/>
      <c r="K253" s="45" t="n"/>
      <c r="L253" s="47" t="n"/>
    </row>
    <row r="254">
      <c r="A254" s="45" t="n"/>
      <c r="B254" s="45" t="n"/>
      <c r="C254" s="47" t="n"/>
      <c r="D254" s="45" t="n"/>
      <c r="E254" s="45" t="n"/>
      <c r="F254" s="46" t="n"/>
      <c r="G254" s="46" t="n"/>
      <c r="H254" s="46" t="n"/>
      <c r="I254" s="45" t="n"/>
      <c r="J254" s="46" t="n"/>
      <c r="K254" s="45" t="n"/>
      <c r="L254" s="47" t="n"/>
    </row>
    <row r="255">
      <c r="A255" s="45" t="n"/>
      <c r="B255" s="45" t="n"/>
      <c r="C255" s="47" t="n"/>
      <c r="D255" s="45" t="n"/>
      <c r="E255" s="45" t="n"/>
      <c r="F255" s="46" t="n"/>
      <c r="G255" s="46" t="n"/>
      <c r="H255" s="46" t="n"/>
      <c r="I255" s="45" t="n"/>
      <c r="J255" s="46" t="n"/>
      <c r="K255" s="45" t="n"/>
      <c r="L255" s="47" t="n"/>
    </row>
    <row r="256">
      <c r="A256" s="45" t="n"/>
      <c r="B256" s="45" t="n"/>
      <c r="C256" s="47" t="n"/>
      <c r="D256" s="45" t="n"/>
      <c r="E256" s="45" t="n"/>
      <c r="F256" s="46" t="n"/>
      <c r="G256" s="46" t="n"/>
      <c r="H256" s="46" t="n"/>
      <c r="I256" s="45" t="n"/>
      <c r="J256" s="46" t="n"/>
      <c r="K256" s="45" t="n"/>
      <c r="L256" s="47" t="n"/>
    </row>
    <row r="257">
      <c r="A257" s="45" t="n"/>
      <c r="B257" s="45" t="n"/>
      <c r="C257" s="47" t="n"/>
      <c r="D257" s="45" t="n"/>
      <c r="E257" s="45" t="n"/>
      <c r="F257" s="46" t="n"/>
      <c r="G257" s="46" t="n"/>
      <c r="H257" s="46" t="n"/>
      <c r="I257" s="45" t="n"/>
      <c r="J257" s="46" t="n"/>
      <c r="K257" s="45" t="n"/>
      <c r="L257" s="47" t="n"/>
    </row>
    <row r="258">
      <c r="A258" s="45" t="n"/>
      <c r="B258" s="45" t="n"/>
      <c r="C258" s="47" t="n"/>
      <c r="D258" s="45" t="n"/>
      <c r="E258" s="45" t="n"/>
      <c r="F258" s="46" t="n"/>
      <c r="G258" s="46" t="n"/>
      <c r="H258" s="46" t="n"/>
      <c r="I258" s="45" t="n"/>
      <c r="J258" s="46" t="n"/>
      <c r="K258" s="45" t="n"/>
      <c r="L258" s="47" t="n"/>
    </row>
    <row r="259">
      <c r="A259" s="45" t="n"/>
      <c r="B259" s="45" t="n"/>
      <c r="C259" s="47" t="n"/>
      <c r="D259" s="45" t="n"/>
      <c r="E259" s="45" t="n"/>
      <c r="F259" s="46" t="n"/>
      <c r="G259" s="46" t="n"/>
      <c r="H259" s="46" t="n"/>
      <c r="I259" s="45" t="n"/>
      <c r="J259" s="46" t="n"/>
      <c r="K259" s="45" t="n"/>
      <c r="L259" s="47" t="n"/>
    </row>
    <row r="260">
      <c r="A260" s="45" t="n"/>
      <c r="B260" s="45" t="n"/>
      <c r="C260" s="47" t="n"/>
      <c r="D260" s="45" t="n"/>
      <c r="E260" s="45" t="n"/>
      <c r="F260" s="46" t="n"/>
      <c r="G260" s="46" t="n"/>
      <c r="H260" s="46" t="n"/>
      <c r="I260" s="45" t="n"/>
      <c r="J260" s="46" t="n"/>
      <c r="K260" s="45" t="n"/>
      <c r="L260" s="47" t="n"/>
    </row>
    <row r="261">
      <c r="A261" s="45" t="n"/>
      <c r="B261" s="45" t="n"/>
      <c r="C261" s="47" t="n"/>
      <c r="D261" s="45" t="n"/>
      <c r="E261" s="45" t="n"/>
      <c r="F261" s="46" t="n"/>
      <c r="G261" s="46" t="n"/>
      <c r="H261" s="46" t="n"/>
      <c r="I261" s="45" t="n"/>
      <c r="J261" s="46" t="n"/>
      <c r="K261" s="45" t="n"/>
      <c r="L261" s="47" t="n"/>
    </row>
    <row r="262">
      <c r="A262" s="45" t="n"/>
      <c r="B262" s="45" t="n"/>
      <c r="C262" s="47" t="n"/>
      <c r="D262" s="45" t="n"/>
      <c r="E262" s="45" t="n"/>
      <c r="F262" s="46" t="n"/>
      <c r="G262" s="46" t="n"/>
      <c r="H262" s="46" t="n"/>
      <c r="I262" s="45" t="n"/>
      <c r="J262" s="46" t="n"/>
      <c r="K262" s="45" t="n"/>
      <c r="L262" s="47" t="n"/>
    </row>
    <row r="263">
      <c r="A263" s="45" t="n"/>
      <c r="B263" s="45" t="n"/>
      <c r="C263" s="47" t="n"/>
      <c r="D263" s="45" t="n"/>
      <c r="E263" s="45" t="n"/>
      <c r="F263" s="46" t="n"/>
      <c r="G263" s="46" t="n"/>
      <c r="H263" s="46" t="n"/>
      <c r="I263" s="45" t="n"/>
      <c r="J263" s="46" t="n"/>
      <c r="K263" s="45" t="n"/>
      <c r="L263" s="47" t="n"/>
    </row>
    <row r="264">
      <c r="A264" s="45" t="n"/>
      <c r="B264" s="45" t="n"/>
      <c r="C264" s="47" t="n"/>
      <c r="D264" s="45" t="n"/>
      <c r="E264" s="45" t="n"/>
      <c r="F264" s="46" t="n"/>
      <c r="G264" s="46" t="n"/>
      <c r="H264" s="46" t="n"/>
      <c r="I264" s="45" t="n"/>
      <c r="J264" s="46" t="n"/>
      <c r="K264" s="45" t="n"/>
      <c r="L264" s="47" t="n"/>
    </row>
    <row r="265">
      <c r="A265" s="45" t="n"/>
      <c r="B265" s="45" t="n"/>
      <c r="C265" s="47" t="n"/>
      <c r="D265" s="45" t="n"/>
      <c r="E265" s="45" t="n"/>
      <c r="F265" s="46" t="n"/>
      <c r="G265" s="46" t="n"/>
      <c r="H265" s="46" t="n"/>
      <c r="I265" s="45" t="n"/>
      <c r="J265" s="46" t="n"/>
      <c r="K265" s="45" t="n"/>
      <c r="L265" s="47" t="n"/>
    </row>
    <row r="266">
      <c r="A266" s="45" t="n"/>
      <c r="B266" s="45" t="n"/>
      <c r="C266" s="47" t="n"/>
      <c r="D266" s="45" t="n"/>
      <c r="E266" s="45" t="n"/>
      <c r="F266" s="46" t="n"/>
      <c r="G266" s="46" t="n"/>
      <c r="H266" s="46" t="n"/>
      <c r="I266" s="45" t="n"/>
      <c r="J266" s="46" t="n"/>
      <c r="K266" s="45" t="n"/>
      <c r="L266" s="47" t="n"/>
    </row>
    <row r="267">
      <c r="A267" s="45" t="n"/>
      <c r="B267" s="45" t="n"/>
      <c r="C267" s="47" t="n"/>
      <c r="D267" s="45" t="n"/>
      <c r="E267" s="45" t="n"/>
      <c r="F267" s="46" t="n"/>
      <c r="G267" s="46" t="n"/>
      <c r="H267" s="46" t="n"/>
      <c r="I267" s="45" t="n"/>
      <c r="J267" s="46" t="n"/>
      <c r="K267" s="45" t="n"/>
      <c r="L267" s="47" t="n"/>
    </row>
    <row r="268">
      <c r="A268" s="45" t="n"/>
      <c r="B268" s="45" t="n"/>
      <c r="C268" s="47" t="n"/>
      <c r="D268" s="45" t="n"/>
      <c r="E268" s="45" t="n"/>
      <c r="F268" s="46" t="n"/>
      <c r="G268" s="46" t="n"/>
      <c r="H268" s="46" t="n"/>
      <c r="I268" s="45" t="n"/>
      <c r="J268" s="46" t="n"/>
      <c r="K268" s="45" t="n"/>
      <c r="L268" s="47" t="n"/>
    </row>
    <row r="269">
      <c r="A269" s="45" t="n"/>
      <c r="B269" s="45" t="n"/>
      <c r="C269" s="47" t="n"/>
      <c r="D269" s="45" t="n"/>
      <c r="E269" s="45" t="n"/>
      <c r="F269" s="46" t="n"/>
      <c r="G269" s="46" t="n"/>
      <c r="H269" s="46" t="n"/>
      <c r="I269" s="45" t="n"/>
      <c r="J269" s="46" t="n"/>
      <c r="K269" s="45" t="n"/>
      <c r="L269" s="47" t="n"/>
    </row>
    <row r="270">
      <c r="A270" s="45" t="n"/>
      <c r="B270" s="45" t="n"/>
      <c r="C270" s="47" t="n"/>
      <c r="D270" s="45" t="n"/>
      <c r="E270" s="45" t="n"/>
      <c r="F270" s="46" t="n"/>
      <c r="G270" s="46" t="n"/>
      <c r="H270" s="46" t="n"/>
      <c r="I270" s="45" t="n"/>
      <c r="J270" s="46" t="n"/>
      <c r="K270" s="45" t="n"/>
      <c r="L270" s="47" t="n"/>
    </row>
    <row r="271">
      <c r="A271" s="45" t="n"/>
      <c r="B271" s="45" t="n"/>
      <c r="C271" s="47" t="n"/>
      <c r="D271" s="45" t="n"/>
      <c r="E271" s="45" t="n"/>
      <c r="F271" s="46" t="n"/>
      <c r="G271" s="46" t="n"/>
      <c r="H271" s="46" t="n"/>
      <c r="I271" s="45" t="n"/>
      <c r="J271" s="46" t="n"/>
      <c r="K271" s="45" t="n"/>
      <c r="L271" s="47" t="n"/>
    </row>
    <row r="272">
      <c r="A272" s="45" t="n"/>
      <c r="B272" s="45" t="n"/>
      <c r="C272" s="47" t="n"/>
      <c r="D272" s="45" t="n"/>
      <c r="E272" s="45" t="n"/>
      <c r="F272" s="46" t="n"/>
      <c r="G272" s="46" t="n"/>
      <c r="H272" s="46" t="n"/>
      <c r="I272" s="45" t="n"/>
      <c r="J272" s="46" t="n"/>
      <c r="K272" s="45" t="n"/>
      <c r="L272" s="47" t="n"/>
    </row>
    <row r="273">
      <c r="A273" s="45" t="n"/>
      <c r="B273" s="45" t="n"/>
      <c r="C273" s="47" t="n"/>
      <c r="D273" s="45" t="n"/>
      <c r="E273" s="45" t="n"/>
      <c r="F273" s="46" t="n"/>
      <c r="G273" s="46" t="n"/>
      <c r="H273" s="46" t="n"/>
      <c r="I273" s="45" t="n"/>
      <c r="J273" s="46" t="n"/>
      <c r="K273" s="45" t="n"/>
      <c r="L273" s="47" t="n"/>
    </row>
    <row r="274">
      <c r="A274" s="45" t="n"/>
      <c r="B274" s="45" t="n"/>
      <c r="C274" s="47" t="n"/>
      <c r="D274" s="45" t="n"/>
      <c r="E274" s="45" t="n"/>
      <c r="F274" s="46" t="n"/>
      <c r="G274" s="46" t="n"/>
      <c r="H274" s="46" t="n"/>
      <c r="I274" s="45" t="n"/>
      <c r="J274" s="46" t="n"/>
      <c r="K274" s="45" t="n"/>
      <c r="L274" s="47" t="n"/>
    </row>
    <row r="275">
      <c r="A275" s="45" t="n"/>
      <c r="B275" s="45" t="n"/>
      <c r="C275" s="47" t="n"/>
      <c r="D275" s="45" t="n"/>
      <c r="E275" s="45" t="n"/>
      <c r="F275" s="46" t="n"/>
      <c r="G275" s="46" t="n"/>
      <c r="H275" s="46" t="n"/>
      <c r="I275" s="45" t="n"/>
      <c r="J275" s="46" t="n"/>
      <c r="K275" s="45" t="n"/>
      <c r="L275" s="47" t="n"/>
    </row>
    <row r="276">
      <c r="A276" s="45" t="n"/>
      <c r="B276" s="45" t="n"/>
      <c r="C276" s="47" t="n"/>
      <c r="D276" s="45" t="n"/>
      <c r="E276" s="45" t="n"/>
      <c r="F276" s="46" t="n"/>
      <c r="G276" s="46" t="n"/>
      <c r="H276" s="46" t="n"/>
      <c r="I276" s="45" t="n"/>
      <c r="J276" s="46" t="n"/>
      <c r="K276" s="45" t="n"/>
      <c r="L276" s="47" t="n"/>
    </row>
    <row r="277">
      <c r="A277" s="45" t="n"/>
      <c r="B277" s="45" t="n"/>
      <c r="C277" s="47" t="n"/>
      <c r="D277" s="45" t="n"/>
      <c r="E277" s="45" t="n"/>
      <c r="F277" s="46" t="n"/>
      <c r="G277" s="46" t="n"/>
      <c r="H277" s="46" t="n"/>
      <c r="I277" s="45" t="n"/>
      <c r="J277" s="46" t="n"/>
      <c r="K277" s="45" t="n"/>
      <c r="L277" s="47" t="n"/>
    </row>
    <row r="278">
      <c r="A278" s="45" t="n"/>
      <c r="B278" s="45" t="n"/>
      <c r="C278" s="47" t="n"/>
      <c r="D278" s="45" t="n"/>
      <c r="E278" s="45" t="n"/>
      <c r="F278" s="46" t="n"/>
      <c r="G278" s="46" t="n"/>
      <c r="H278" s="46" t="n"/>
      <c r="I278" s="45" t="n"/>
      <c r="J278" s="46" t="n"/>
      <c r="K278" s="45" t="n"/>
      <c r="L278" s="47" t="n"/>
    </row>
    <row r="279">
      <c r="A279" s="45" t="n"/>
      <c r="B279" s="45" t="n"/>
      <c r="C279" s="47" t="n"/>
      <c r="D279" s="45" t="n"/>
      <c r="E279" s="45" t="n"/>
      <c r="F279" s="46" t="n"/>
      <c r="G279" s="46" t="n"/>
      <c r="H279" s="46" t="n"/>
      <c r="I279" s="45" t="n"/>
      <c r="J279" s="46" t="n"/>
      <c r="K279" s="45" t="n"/>
      <c r="L279" s="47" t="n"/>
    </row>
    <row r="280">
      <c r="A280" s="45" t="n"/>
      <c r="B280" s="45" t="n"/>
      <c r="C280" s="47" t="n"/>
      <c r="D280" s="45" t="n"/>
      <c r="E280" s="45" t="n"/>
      <c r="F280" s="46" t="n"/>
      <c r="G280" s="46" t="n"/>
      <c r="H280" s="46" t="n"/>
      <c r="I280" s="45" t="n"/>
      <c r="J280" s="46" t="n"/>
      <c r="K280" s="45" t="n"/>
      <c r="L280" s="47" t="n"/>
    </row>
    <row r="281">
      <c r="A281" s="45" t="n"/>
      <c r="B281" s="45" t="n"/>
      <c r="C281" s="47" t="n"/>
      <c r="D281" s="45" t="n"/>
      <c r="E281" s="45" t="n"/>
      <c r="F281" s="46" t="n"/>
      <c r="G281" s="46" t="n"/>
      <c r="H281" s="46" t="n"/>
      <c r="I281" s="45" t="n"/>
      <c r="J281" s="46" t="n"/>
      <c r="K281" s="45" t="n"/>
      <c r="L281" s="47" t="n"/>
    </row>
    <row r="282">
      <c r="A282" s="45" t="n"/>
      <c r="B282" s="45" t="n"/>
      <c r="C282" s="47" t="n"/>
      <c r="D282" s="45" t="n"/>
      <c r="E282" s="45" t="n"/>
      <c r="F282" s="46" t="n"/>
      <c r="G282" s="46" t="n"/>
      <c r="H282" s="46" t="n"/>
      <c r="I282" s="45" t="n"/>
      <c r="J282" s="46" t="n"/>
      <c r="K282" s="45" t="n"/>
      <c r="L282" s="47" t="n"/>
    </row>
    <row r="283">
      <c r="A283" s="45" t="n"/>
      <c r="B283" s="45" t="n"/>
      <c r="C283" s="47" t="n"/>
      <c r="D283" s="45" t="n"/>
      <c r="E283" s="45" t="n"/>
      <c r="F283" s="46" t="n"/>
      <c r="G283" s="46" t="n"/>
      <c r="H283" s="46" t="n"/>
      <c r="I283" s="45" t="n"/>
      <c r="J283" s="46" t="n"/>
      <c r="K283" s="45" t="n"/>
      <c r="L283" s="47" t="n"/>
    </row>
    <row r="284">
      <c r="A284" s="45" t="n"/>
      <c r="B284" s="45" t="n"/>
      <c r="C284" s="47" t="n"/>
      <c r="D284" s="45" t="n"/>
      <c r="E284" s="45" t="n"/>
      <c r="F284" s="46" t="n"/>
      <c r="G284" s="46" t="n"/>
      <c r="H284" s="46" t="n"/>
      <c r="I284" s="45" t="n"/>
      <c r="J284" s="46" t="n"/>
      <c r="K284" s="45" t="n"/>
      <c r="L284" s="47" t="n"/>
    </row>
    <row r="285">
      <c r="A285" s="45" t="n"/>
      <c r="B285" s="45" t="n"/>
      <c r="C285" s="47" t="n"/>
      <c r="D285" s="45" t="n"/>
      <c r="E285" s="45" t="n"/>
      <c r="F285" s="46" t="n"/>
      <c r="G285" s="46" t="n"/>
      <c r="H285" s="46" t="n"/>
      <c r="I285" s="45" t="n"/>
      <c r="J285" s="46" t="n"/>
      <c r="K285" s="45" t="n"/>
      <c r="L285" s="47" t="n"/>
    </row>
    <row r="286">
      <c r="A286" s="45" t="n"/>
      <c r="B286" s="45" t="n"/>
      <c r="C286" s="47" t="n"/>
      <c r="D286" s="45" t="n"/>
      <c r="E286" s="45" t="n"/>
      <c r="F286" s="46" t="n"/>
      <c r="G286" s="46" t="n"/>
      <c r="H286" s="46" t="n"/>
      <c r="I286" s="45" t="n"/>
      <c r="J286" s="46" t="n"/>
      <c r="K286" s="45" t="n"/>
      <c r="L286" s="47" t="n"/>
    </row>
    <row r="287">
      <c r="A287" s="45" t="n"/>
      <c r="B287" s="45" t="n"/>
      <c r="C287" s="47" t="n"/>
      <c r="D287" s="45" t="n"/>
      <c r="E287" s="45" t="n"/>
      <c r="F287" s="46" t="n"/>
      <c r="G287" s="46" t="n"/>
      <c r="H287" s="46" t="n"/>
      <c r="I287" s="45" t="n"/>
      <c r="J287" s="46" t="n"/>
      <c r="K287" s="45" t="n"/>
      <c r="L287" s="47" t="n"/>
    </row>
    <row r="288">
      <c r="A288" s="45" t="n"/>
      <c r="B288" s="45" t="n"/>
      <c r="C288" s="47" t="n"/>
      <c r="D288" s="45" t="n"/>
      <c r="E288" s="45" t="n"/>
      <c r="F288" s="46" t="n"/>
      <c r="G288" s="46" t="n"/>
      <c r="H288" s="46" t="n"/>
      <c r="I288" s="45" t="n"/>
      <c r="J288" s="46" t="n"/>
      <c r="K288" s="45" t="n"/>
      <c r="L288" s="47" t="n"/>
    </row>
    <row r="289">
      <c r="A289" s="45" t="n"/>
      <c r="B289" s="45" t="n"/>
      <c r="C289" s="47" t="n"/>
      <c r="D289" s="45" t="n"/>
      <c r="E289" s="45" t="n"/>
      <c r="F289" s="46" t="n"/>
      <c r="G289" s="46" t="n"/>
      <c r="H289" s="46" t="n"/>
      <c r="I289" s="45" t="n"/>
      <c r="J289" s="46" t="n"/>
      <c r="K289" s="45" t="n"/>
      <c r="L289" s="47" t="n"/>
    </row>
    <row r="290">
      <c r="A290" s="45" t="n"/>
      <c r="B290" s="45" t="n"/>
      <c r="C290" s="47" t="n"/>
      <c r="D290" s="45" t="n"/>
      <c r="E290" s="45" t="n"/>
      <c r="F290" s="46" t="n"/>
      <c r="G290" s="46" t="n"/>
      <c r="H290" s="46" t="n"/>
      <c r="I290" s="45" t="n"/>
      <c r="J290" s="46" t="n"/>
      <c r="K290" s="45" t="n"/>
      <c r="L290" s="47" t="n"/>
    </row>
    <row r="291">
      <c r="A291" s="45" t="n"/>
      <c r="B291" s="45" t="n"/>
      <c r="C291" s="47" t="n"/>
      <c r="D291" s="45" t="n"/>
      <c r="E291" s="45" t="n"/>
      <c r="F291" s="46" t="n"/>
      <c r="G291" s="46" t="n"/>
      <c r="H291" s="46" t="n"/>
      <c r="I291" s="45" t="n"/>
      <c r="J291" s="46" t="n"/>
      <c r="K291" s="45" t="n"/>
      <c r="L291" s="47" t="n"/>
    </row>
    <row r="292">
      <c r="A292" s="45" t="n"/>
      <c r="B292" s="45" t="n"/>
      <c r="C292" s="47" t="n"/>
      <c r="D292" s="45" t="n"/>
      <c r="E292" s="45" t="n"/>
      <c r="F292" s="46" t="n"/>
      <c r="G292" s="46" t="n"/>
      <c r="H292" s="46" t="n"/>
      <c r="I292" s="45" t="n"/>
      <c r="J292" s="46" t="n"/>
      <c r="K292" s="45" t="n"/>
      <c r="L292" s="47" t="n"/>
    </row>
    <row r="293">
      <c r="A293" s="45" t="n"/>
      <c r="B293" s="45" t="n"/>
      <c r="C293" s="47" t="n"/>
      <c r="D293" s="45" t="n"/>
      <c r="E293" s="45" t="n"/>
      <c r="F293" s="46" t="n"/>
      <c r="G293" s="46" t="n"/>
      <c r="H293" s="46" t="n"/>
      <c r="I293" s="45" t="n"/>
      <c r="J293" s="46" t="n"/>
      <c r="K293" s="45" t="n"/>
      <c r="L293" s="47" t="n"/>
    </row>
    <row r="294">
      <c r="A294" s="45" t="n"/>
      <c r="B294" s="45" t="n"/>
      <c r="C294" s="47" t="n"/>
      <c r="D294" s="45" t="n"/>
      <c r="E294" s="45" t="n"/>
      <c r="F294" s="46" t="n"/>
      <c r="G294" s="46" t="n"/>
      <c r="H294" s="46" t="n"/>
      <c r="I294" s="45" t="n"/>
      <c r="J294" s="46" t="n"/>
      <c r="K294" s="45" t="n"/>
      <c r="L294" s="47" t="n"/>
    </row>
    <row r="295">
      <c r="A295" s="45" t="n"/>
      <c r="B295" s="45" t="n"/>
      <c r="C295" s="47" t="n"/>
      <c r="D295" s="45" t="n"/>
      <c r="E295" s="45" t="n"/>
      <c r="F295" s="46" t="n"/>
      <c r="G295" s="46" t="n"/>
      <c r="H295" s="46" t="n"/>
      <c r="I295" s="45" t="n"/>
      <c r="J295" s="46" t="n"/>
      <c r="K295" s="45" t="n"/>
      <c r="L295" s="47" t="n"/>
    </row>
    <row r="296">
      <c r="A296" s="45" t="n"/>
      <c r="B296" s="45" t="n"/>
      <c r="C296" s="47" t="n"/>
      <c r="D296" s="45" t="n"/>
      <c r="E296" s="45" t="n"/>
      <c r="F296" s="46" t="n"/>
      <c r="G296" s="46" t="n"/>
      <c r="H296" s="46" t="n"/>
      <c r="I296" s="45" t="n"/>
      <c r="J296" s="46" t="n"/>
      <c r="K296" s="45" t="n"/>
      <c r="L296" s="47" t="n"/>
    </row>
    <row r="297">
      <c r="A297" s="45" t="n"/>
      <c r="B297" s="45" t="n"/>
      <c r="C297" s="47" t="n"/>
      <c r="D297" s="45" t="n"/>
      <c r="E297" s="45" t="n"/>
      <c r="F297" s="46" t="n"/>
      <c r="G297" s="46" t="n"/>
      <c r="H297" s="46" t="n"/>
      <c r="I297" s="45" t="n"/>
      <c r="J297" s="46" t="n"/>
      <c r="K297" s="45" t="n"/>
      <c r="L297" s="47" t="n"/>
    </row>
    <row r="298">
      <c r="A298" s="45" t="n"/>
      <c r="B298" s="45" t="n"/>
      <c r="C298" s="47" t="n"/>
      <c r="D298" s="45" t="n"/>
      <c r="E298" s="45" t="n"/>
      <c r="F298" s="46" t="n"/>
      <c r="G298" s="46" t="n"/>
      <c r="H298" s="46" t="n"/>
      <c r="I298" s="45" t="n"/>
      <c r="J298" s="46" t="n"/>
      <c r="K298" s="45" t="n"/>
      <c r="L298" s="47" t="n"/>
    </row>
    <row r="299">
      <c r="A299" s="45" t="n"/>
      <c r="B299" s="45" t="n"/>
      <c r="C299" s="47" t="n"/>
      <c r="D299" s="45" t="n"/>
      <c r="E299" s="45" t="n"/>
      <c r="F299" s="46" t="n"/>
      <c r="G299" s="46" t="n"/>
      <c r="H299" s="46" t="n"/>
      <c r="I299" s="45" t="n"/>
      <c r="J299" s="46" t="n"/>
      <c r="K299" s="45" t="n"/>
      <c r="L299" s="47" t="n"/>
    </row>
  </sheetData>
  <mergeCells count="6">
    <mergeCell ref="A38:L38"/>
    <mergeCell ref="A2:L2"/>
    <mergeCell ref="A1:L1"/>
    <mergeCell ref="A37:L37"/>
    <mergeCell ref="A4:J4"/>
    <mergeCell ref="A36:K36"/>
  </mergeCells>
  <conditionalFormatting sqref="E6:E35">
    <cfRule type="cellIs" priority="1" operator="lessThan" dxfId="3">
      <formula>0</formula>
    </cfRule>
    <cfRule type="cellIs" priority="2" operator="equal" dxfId="3">
      <formula>0</formula>
    </cfRule>
    <cfRule type="cellIs" priority="3" operator="greaterThan" dxfId="2">
      <formula>0</formula>
    </cfRule>
  </conditionalFormatting>
  <conditionalFormatting sqref="I6:I35">
    <cfRule type="expression" priority="7" dxfId="2">
      <formula>I6="Eviction"</formula>
    </cfRule>
    <cfRule type="expression" priority="8" dxfId="142">
      <formula>I6="Non-payment"</formula>
    </cfRule>
    <cfRule type="expression" priority="9" dxfId="3">
      <formula>OR(I6="End of lease",I6="Mutual agreement",I6="Tenant notice")</formula>
    </cfRule>
  </conditionalFormatting>
  <conditionalFormatting sqref="J40:J299">
    <cfRule type="cellIs" priority="4" operator="lessThan" dxfId="3">
      <formula>0</formula>
    </cfRule>
    <cfRule type="cellIs" priority="5" operator="equal" dxfId="3">
      <formula>0</formula>
    </cfRule>
    <cfRule type="cellIs" priority="6" operator="greaterThan" dxfId="2">
      <formula>0</formula>
    </cfRule>
  </conditionalFormatting>
  <conditionalFormatting sqref="K6:K35">
    <cfRule type="expression" priority="10" dxfId="143">
      <formula>K6="Written off"</formula>
    </cfRule>
    <cfRule type="expression" priority="11" dxfId="142">
      <formula>K6="Still pursuing"</formula>
    </cfRule>
    <cfRule type="expression" priority="12" dxfId="3">
      <formula>K6="Settled in full"</formula>
    </cfRule>
    <cfRule type="expression" priority="13" dxfId="140">
      <formula>K6="Partial recovery"</formula>
    </cfRule>
  </conditionalFormatting>
  <dataValidations count="4">
    <dataValidation sqref="A6:A35" showDropDown="0" showInputMessage="0" showErrorMessage="0" allowBlank="1" type="list">
      <formula1>"A1,A2,A3,A4,A5,A6,A7,B1,B2,B3,C1,C2,C3,Shop 1,Shop 2"</formula1>
    </dataValidation>
    <dataValidation sqref="I6:I35" showDropDown="0" showInputMessage="0" showErrorMessage="0" allowBlank="1" type="list">
      <formula1>"End of lease,Mutual agreement,Tenant notice,Eviction,Non-payment,Other"</formula1>
    </dataValidation>
    <dataValidation sqref="K6:K35" showDropDown="0" showInputMessage="0" showErrorMessage="0" allowBlank="1" type="list">
      <formula1>"Settled in full,Partial recovery,Written off,Still pursuing,Not applicable"</formula1>
    </dataValidation>
    <dataValidation sqref="D6:D35" showDropDown="0" showInputMessage="1" showErrorMessage="1" allowBlank="1" errorTitle="Invalid Date" error="Please enter a valid date" promptTitle="Move-out Date" prompt="Enter or pick the move-out / vacate date" type="date" operator="greaterThan">
      <formula1>DATE(2000,1,1)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4"/>
  <sheetViews>
    <sheetView topLeftCell="A27" zoomScale="40" zoomScaleNormal="40" workbookViewId="0">
      <selection activeCell="A88" sqref="A88:B175"/>
    </sheetView>
  </sheetViews>
  <sheetFormatPr baseColWidth="8" defaultRowHeight="14.4"/>
  <cols>
    <col width="36" customWidth="1" style="62" min="1" max="1"/>
    <col width="78" customWidth="1" style="62" min="2" max="2"/>
  </cols>
  <sheetData>
    <row r="1" ht="27.9" customHeight="1" s="62">
      <c r="A1" s="70" t="inlineStr">
        <is>
          <t>HOW TO USE THIS WORKBOOK</t>
        </is>
      </c>
    </row>
    <row r="3">
      <c r="A3" s="48" t="n"/>
      <c r="B3" s="49" t="n"/>
    </row>
    <row r="4">
      <c r="A4" s="68" t="inlineStr">
        <is>
          <t>SHEETS OVERVIEW</t>
        </is>
      </c>
    </row>
    <row r="5">
      <c r="A5" s="48" t="inlineStr">
        <is>
          <t>Summary</t>
        </is>
      </c>
      <c r="B5" s="49" t="inlineStr">
        <is>
          <t>All current units — balances, priority, suggested action.</t>
        </is>
      </c>
    </row>
    <row r="6">
      <c r="A6" s="48" t="inlineStr">
        <is>
          <t>Statement</t>
        </is>
      </c>
      <c r="B6" s="49" t="inlineStr">
        <is>
          <t>Printable / PDF statement for the CURRENT tenant of any unit.</t>
        </is>
      </c>
    </row>
    <row r="7">
      <c r="A7" s="48" t="inlineStr">
        <is>
          <t>Archive</t>
        </is>
      </c>
      <c r="B7" s="49" t="inlineStr">
        <is>
          <t>History of PREVIOUS tenants. Unit sheets stay current-tenant only.</t>
        </is>
      </c>
    </row>
    <row r="8">
      <c r="A8" s="48" t="inlineStr">
        <is>
          <t>A1 – Shop 2</t>
        </is>
      </c>
      <c r="B8" s="49" t="inlineStr">
        <is>
          <t>One ledger per unit — current tenant only.</t>
        </is>
      </c>
    </row>
    <row r="9">
      <c r="A9" s="48" t="n"/>
      <c r="B9" s="49" t="n"/>
    </row>
    <row r="10">
      <c r="A10" s="68" t="inlineStr">
        <is>
          <t>DAILY / WEEKLY USE</t>
        </is>
      </c>
    </row>
    <row r="11">
      <c r="A11" s="48" t="inlineStr">
        <is>
          <t>1. Open Summary</t>
        </is>
      </c>
      <c r="B11" s="49" t="inlineStr">
        <is>
          <t>Check Priority column and Unit Status table at the bottom.</t>
        </is>
      </c>
    </row>
    <row r="12">
      <c r="A12" s="48" t="inlineStr">
        <is>
          <t>2. Record payments</t>
        </is>
      </c>
      <c r="B12" s="49" t="inlineStr">
        <is>
          <t>Go to the unit sheet → use blank rows at the bottom.</t>
        </is>
      </c>
    </row>
    <row r="13">
      <c r="A13" s="48" t="inlineStr">
        <is>
          <t>3. Monthly charge</t>
        </is>
      </c>
      <c r="B13" s="49" t="inlineStr">
        <is>
          <t>Select Month in column B → Date &amp; Description fill automatically.</t>
        </is>
      </c>
    </row>
    <row r="14">
      <c r="A14" s="48" t="inlineStr">
        <is>
          <t>4. Payment</t>
        </is>
      </c>
      <c r="B14" s="49" t="inlineStr">
        <is>
          <t>Leave Month blank → choose Payment Received → enter Amount + M-Pesa Ref.</t>
        </is>
      </c>
    </row>
    <row r="15">
      <c r="A15" s="48" t="n"/>
      <c r="B15" s="49" t="n"/>
    </row>
    <row r="16">
      <c r="A16" s="68" t="inlineStr">
        <is>
          <t>WHEN A TENANT VACATES</t>
        </is>
      </c>
    </row>
    <row r="17">
      <c r="A17" s="48" t="inlineStr">
        <is>
          <t>Step 1 — Settle</t>
        </is>
      </c>
      <c r="B17" s="49" t="inlineStr">
        <is>
          <t>Enter final charges and payments. Clear the balance if possible.</t>
        </is>
      </c>
    </row>
    <row r="18">
      <c r="A18" s="48" t="inlineStr">
        <is>
          <t>Step 2 — Deposit</t>
        </is>
      </c>
      <c r="B18" s="49" t="inlineStr">
        <is>
          <t>Refund or forfeit. Update Deposit Held (L3) to 0 when settled.</t>
        </is>
      </c>
    </row>
    <row r="19">
      <c r="A19" s="48" t="inlineStr">
        <is>
          <t>Step 3 — Archive register</t>
        </is>
      </c>
      <c r="B19" s="49" t="inlineStr">
        <is>
          <t>On Archive sheet, fill one row in CLOSED TENANCIES REGISTER (unit, name, dates, final balance, deposit outcome).</t>
        </is>
      </c>
    </row>
    <row r="20">
      <c r="A20" s="48" t="inlineStr">
        <is>
          <t>Step 4 — Archive transactions</t>
        </is>
      </c>
      <c r="B20" s="49" t="inlineStr">
        <is>
          <t>Copy all transaction rows from the unit sheet into DETAILED TRANSACTION HISTORY on Archive. Add Unit + Tenant Name on every row. Put today’s date in Archived On.</t>
        </is>
      </c>
    </row>
    <row r="21">
      <c r="A21" s="48" t="inlineStr">
        <is>
          <t>Step 5 — Clear unit sheet</t>
        </is>
      </c>
      <c r="B21" s="49" t="inlineStr">
        <is>
          <t>Delete the transaction rows on the unit sheet (keep the header row 1–5). Running Balance will restart at 0 for the next tenant.</t>
        </is>
      </c>
    </row>
    <row r="22">
      <c r="A22" s="48" t="inlineStr">
        <is>
          <t>Step 6 — Remarks</t>
        </is>
      </c>
      <c r="B22" s="49" t="inlineStr">
        <is>
          <t>Optional: leave a note in Remarks on Archive: “Vacated [date]”.</t>
        </is>
      </c>
    </row>
    <row r="23">
      <c r="A23" s="48" t="n"/>
      <c r="B23" s="49" t="n"/>
    </row>
    <row r="24">
      <c r="A24" s="68" t="inlineStr">
        <is>
          <t>WHEN A NEW TENANT JOINS</t>
        </is>
      </c>
    </row>
    <row r="25">
      <c r="A25" s="48" t="inlineStr">
        <is>
          <t>Step 1 — Confirm clear</t>
        </is>
      </c>
      <c r="B25" s="49" t="inlineStr">
        <is>
          <t>Unit sheet transaction area should be empty (only header + blank template rows).</t>
        </is>
      </c>
    </row>
    <row r="26">
      <c r="A26" s="48" t="inlineStr">
        <is>
          <t>Step 2 — Update header</t>
        </is>
      </c>
      <c r="B26" s="49" t="inlineStr">
        <is>
          <t>J3 = new tenant name. D3 = rent. F3 = garbage. L3 = deposit received.</t>
        </is>
      </c>
    </row>
    <row r="27">
      <c r="A27" s="48" t="inlineStr">
        <is>
          <t>Step 3 — First charge</t>
        </is>
      </c>
      <c r="B27" s="49" t="inlineStr">
        <is>
          <t>Select the move-in month in column B to create the first Monthly Rent Charge.</t>
        </is>
      </c>
    </row>
    <row r="28">
      <c r="A28" s="48" t="inlineStr">
        <is>
          <t>Step 4 — Deposit note</t>
        </is>
      </c>
      <c r="B28" s="49" t="inlineStr">
        <is>
          <t>Record deposit as Payment Received (or note in Remarks) and keep L3 updated.</t>
        </is>
      </c>
    </row>
    <row r="29">
      <c r="A29" s="48" t="inlineStr">
        <is>
          <t>Step 5 — Check Summary</t>
        </is>
      </c>
      <c r="B29" s="49" t="inlineStr">
        <is>
          <t>New name and balance should appear automatically.</t>
        </is>
      </c>
    </row>
    <row r="30">
      <c r="A30" s="48" t="n"/>
      <c r="B30" s="49" t="n"/>
    </row>
    <row r="31">
      <c r="A31" s="68" t="inlineStr">
        <is>
          <t>TENANT STATEMENT</t>
        </is>
      </c>
    </row>
    <row r="32">
      <c r="A32" s="48" t="inlineStr">
        <is>
          <t>Current tenant</t>
        </is>
      </c>
      <c r="B32" s="49" t="inlineStr">
        <is>
          <t>Statement sheet → change yellow cell B3 to the unit → Print or Save as PDF.</t>
        </is>
      </c>
    </row>
    <row r="33">
      <c r="A33" s="48" t="inlineStr">
        <is>
          <t>Previous tenant</t>
        </is>
      </c>
      <c r="B33" s="49" t="inlineStr">
        <is>
          <t>Go to Archive → filter by Tenant Name → copy the rows you need, or recreate a simple statement from the archived data.</t>
        </is>
      </c>
    </row>
    <row r="34">
      <c r="A34" s="48" t="n"/>
      <c r="B34" s="49" t="n"/>
    </row>
    <row r="35">
      <c r="A35" s="68" t="inlineStr">
        <is>
          <t>COLOUR &amp; PRIORITY</t>
        </is>
      </c>
    </row>
    <row r="36">
      <c r="A36" s="48" t="inlineStr">
        <is>
          <t>PAID (green)</t>
        </is>
      </c>
      <c r="B36" s="49" t="inlineStr">
        <is>
          <t>NO ACTION NEEDED</t>
        </is>
      </c>
    </row>
    <row r="37">
      <c r="A37" s="48" t="inlineStr">
        <is>
          <t>LOW (yellow)</t>
        </is>
      </c>
      <c r="B37" s="49" t="inlineStr">
        <is>
          <t>MONITOR</t>
        </is>
      </c>
    </row>
    <row r="38">
      <c r="A38" s="48" t="inlineStr">
        <is>
          <t>MEDIUM (orange)</t>
        </is>
      </c>
      <c r="B38" s="49" t="inlineStr">
        <is>
          <t>FOLLOW UP</t>
        </is>
      </c>
    </row>
    <row r="39">
      <c r="A39" s="48" t="inlineStr">
        <is>
          <t>HIGH (red)</t>
        </is>
      </c>
      <c r="B39" s="49" t="inlineStr">
        <is>
          <t>URGENT</t>
        </is>
      </c>
    </row>
    <row r="40">
      <c r="A40" s="48" t="n"/>
      <c r="B40" s="49" t="n"/>
    </row>
    <row r="41">
      <c r="A41" s="68" t="inlineStr">
        <is>
          <t>GOOGLE DRIVE &amp; PHONE</t>
        </is>
      </c>
    </row>
    <row r="42">
      <c r="A42" s="48" t="inlineStr">
        <is>
          <t>Master file</t>
        </is>
      </c>
      <c r="B42" s="49" t="inlineStr">
        <is>
          <t>One master copy on Google Drive.</t>
        </is>
      </c>
    </row>
    <row r="43">
      <c r="A43" s="48" t="inlineStr">
        <is>
          <t>Editing</t>
        </is>
      </c>
      <c r="B43" s="49" t="inlineStr">
        <is>
          <t>Download → edit on computer → re-upload. Avoid simultaneous phone + computer edits.</t>
        </is>
      </c>
    </row>
    <row r="44">
      <c r="A44" s="48" t="inlineStr">
        <is>
          <t>Viewing</t>
        </is>
      </c>
      <c r="B44" s="49" t="inlineStr">
        <is>
          <t>Phone is fine for checking balances and history.</t>
        </is>
      </c>
    </row>
    <row r="45">
      <c r="A45" s="48" t="n"/>
      <c r="B45" s="49" t="n"/>
    </row>
    <row r="46">
      <c r="A46" s="68" t="inlineStr">
        <is>
          <t>IMPORTANT RULES</t>
        </is>
      </c>
    </row>
    <row r="47">
      <c r="A47" s="48" t="inlineStr">
        <is>
          <t>Unit sheet = current tenant only</t>
        </is>
      </c>
      <c r="B47" s="49" t="inlineStr">
        <is>
          <t>Never keep two tenants mixed on the same unit sheet.</t>
        </is>
      </c>
    </row>
    <row r="48">
      <c r="A48" s="48" t="inlineStr">
        <is>
          <t>Never delete Archive rows</t>
        </is>
      </c>
      <c r="B48" s="49" t="inlineStr">
        <is>
          <t>History is permanent.</t>
        </is>
      </c>
    </row>
    <row r="49">
      <c r="A49" s="48" t="inlineStr">
        <is>
          <t>Always record M-Pesa refs</t>
        </is>
      </c>
      <c r="B49" s="49" t="inlineStr">
        <is>
          <t>Protects you in disputes.</t>
        </is>
      </c>
    </row>
    <row r="51">
      <c r="A51" s="50" t="inlineStr">
        <is>
          <t>WHEN A TENANT IS EVICTED</t>
        </is>
      </c>
    </row>
    <row r="52">
      <c r="A52" s="48" t="inlineStr">
        <is>
          <t>Step 1 — Keep recording</t>
        </is>
      </c>
      <c r="B52" s="49" t="inlineStr">
        <is>
          <t>Continue entering charges and payments on the unit sheet until the tenancy is closed. Note notice date and eviction date in Remarks.</t>
        </is>
      </c>
    </row>
    <row r="53">
      <c r="A53" s="48" t="inlineStr">
        <is>
          <t>Step 2 — Final settlement</t>
        </is>
      </c>
      <c r="B53" s="49" t="inlineStr">
        <is>
          <t>Add last rent, damages, or costs. Record any final payment. Decide deposit: apply to arrears, refund remainder, or forfeit.</t>
        </is>
      </c>
    </row>
    <row r="54">
      <c r="A54" s="48" t="inlineStr">
        <is>
          <t>Step 3 — Archive register</t>
        </is>
      </c>
      <c r="B54" s="49" t="inlineStr">
        <is>
          <t>On Archive → Closed Tenancies Register: fill Unit, Name, Move-in, Move-out (eviction date), Final Balance, Deposit amounts. Set Reason for Leaving = Eviction.</t>
        </is>
      </c>
    </row>
    <row r="55">
      <c r="A55" s="48" t="inlineStr">
        <is>
          <t>Step 4 — Archive transactions</t>
        </is>
      </c>
      <c r="B55" s="49" t="inlineStr">
        <is>
          <t>Copy all unit sheet transaction rows into Archive Detailed History. Add Unit + Tenant Name on every row. Put date in Archived On.</t>
        </is>
      </c>
    </row>
    <row r="56">
      <c r="A56" s="48" t="inlineStr">
        <is>
          <t>Step 5 — Notes</t>
        </is>
      </c>
      <c r="B56" s="49" t="inlineStr">
        <is>
          <t>In Archive Notes write: notice date, lock/eviction date, and whether arrears are still being pursued or written off.</t>
        </is>
      </c>
    </row>
    <row r="57">
      <c r="A57" s="48" t="inlineStr">
        <is>
          <t>Step 6 — Clear unit sheet</t>
        </is>
      </c>
      <c r="B57" s="49" t="inlineStr">
        <is>
          <t>Delete transaction rows on the unit sheet. Set Deposit Held (L3) to 0. Unit is ready for a new tenant.</t>
        </is>
      </c>
    </row>
    <row r="58">
      <c r="A58" s="48" t="inlineStr">
        <is>
          <t>Arrears after eviction</t>
        </is>
      </c>
      <c r="B58" s="49" t="inlineStr">
        <is>
          <t>If still pursuing: note in Archive. If written off: note the date. Unit sheet balance should return to 0 so Summary stays clean.</t>
        </is>
      </c>
    </row>
    <row r="60">
      <c r="A60" s="51" t="inlineStr">
        <is>
          <t>UNPAID ARREARS AFTER EVICTION</t>
        </is>
      </c>
    </row>
    <row r="61">
      <c r="A61" s="48" t="inlineStr">
        <is>
          <t>Common situation</t>
        </is>
      </c>
      <c r="B61" s="49" t="inlineStr">
        <is>
          <t>Tenant cannot pay. Eviction is last resort. Arrears remain unpaid.</t>
        </is>
      </c>
    </row>
    <row r="62">
      <c r="A62" s="48" t="inlineStr">
        <is>
          <t>Unit sheet stays clean</t>
        </is>
      </c>
      <c r="B62" s="49" t="inlineStr">
        <is>
          <t>After archiving, clear the unit ledger and set Deposit Held (L3) to 0. Next tenant starts at balance 0. Summary stays accurate.</t>
        </is>
      </c>
    </row>
    <row r="63">
      <c r="A63" s="48" t="inlineStr">
        <is>
          <t>Record the debt in Archive</t>
        </is>
      </c>
      <c r="B63" s="49" t="inlineStr">
        <is>
          <t>Closed Tenancies Register: Final Balance = amount still owed. Reason = Eviction. Arrears Outcome = Written off OR Still pursuing.</t>
        </is>
      </c>
    </row>
    <row r="64">
      <c r="A64" s="48" t="inlineStr">
        <is>
          <t>Arrears Outcome options</t>
        </is>
      </c>
      <c r="B64" s="49" t="inlineStr">
        <is>
          <t>Settled in full | Partial recovery | Written off | Still pursuing | Not applicable</t>
        </is>
      </c>
    </row>
    <row r="65">
      <c r="A65" s="48" t="inlineStr">
        <is>
          <t>Written off</t>
        </is>
      </c>
      <c r="B65" s="49" t="inlineStr">
        <is>
          <t>No further recovery expected. Note the date in Notes. History is kept; unit is free for a new tenant.</t>
        </is>
      </c>
    </row>
    <row r="66">
      <c r="A66" s="48" t="inlineStr">
        <is>
          <t>Still pursuing</t>
        </is>
      </c>
      <c r="B66" s="49" t="inlineStr">
        <is>
          <t>You may follow up later or via an advocate. Note case ref in Notes. Unit sheet still goes to 0.</t>
        </is>
      </c>
    </row>
    <row r="67">
      <c r="A67" s="48" t="inlineStr">
        <is>
          <t>Deposit</t>
        </is>
      </c>
      <c r="B67" s="49" t="inlineStr">
        <is>
          <t>Apply what you can against arrears. Record Deposit Forfeited / Refunded. Remainder of debt stays in Final Balance.</t>
        </is>
      </c>
    </row>
    <row r="68">
      <c r="A68" s="48" t="inlineStr">
        <is>
          <t>Example Notes</t>
        </is>
      </c>
      <c r="B68" s="49" t="inlineStr">
        <is>
          <t>"Evicted 20-Aug-2026. Deposit KSh 5,000 applied to arrears. Balance KSh 32,400 written off. Not pursuing."</t>
        </is>
      </c>
    </row>
    <row r="70">
      <c r="A70" s="49" t="n"/>
      <c r="B70" s="49" t="n"/>
    </row>
    <row r="71">
      <c r="A71" s="49" t="n"/>
      <c r="B71" s="49" t="n"/>
    </row>
    <row r="72">
      <c r="A72" s="49" t="n"/>
      <c r="B72" s="49" t="n"/>
    </row>
    <row r="73">
      <c r="A73" s="49" t="n"/>
      <c r="B73" s="49" t="n"/>
    </row>
    <row r="74">
      <c r="A74" s="49" t="n"/>
      <c r="B74" s="49" t="n"/>
    </row>
    <row r="75">
      <c r="A75" s="49" t="n"/>
      <c r="B75" s="49" t="n"/>
    </row>
    <row r="76">
      <c r="A76" s="49" t="n"/>
      <c r="B76" s="49" t="n"/>
    </row>
    <row r="77">
      <c r="A77" s="49" t="n"/>
      <c r="B77" s="49" t="n"/>
    </row>
    <row r="80">
      <c r="A80" s="68" t="inlineStr">
        <is>
          <t>PDF AUTOMATION (VBA)</t>
        </is>
      </c>
    </row>
    <row r="81">
      <c r="A81" s="48" t="inlineStr">
        <is>
          <t>Setup (once)</t>
        </is>
      </c>
      <c r="B81" s="49" t="inlineStr">
        <is>
          <t>Open this file in desktop Excel (Windows or Mac). Press Alt+F11 (Option+F11 on Mac).</t>
        </is>
      </c>
    </row>
    <row r="82">
      <c r="A82" s="48" t="inlineStr">
        <is>
          <t>Add module</t>
        </is>
      </c>
      <c r="B82" s="49" t="inlineStr">
        <is>
          <t>In VBA: Insert → Module. Paste ALL of the code block below. Save workbook as .xlsm (macro-enabled).</t>
        </is>
      </c>
    </row>
    <row r="83">
      <c r="A83" s="48" t="inlineStr">
        <is>
          <t>One tenant PDF</t>
        </is>
      </c>
      <c r="B83" s="49" t="inlineStr">
        <is>
          <t>Go to Statement → set yellow B3 to the unit → Alt+F8 → GenerateTenantPDF → Run.</t>
        </is>
      </c>
    </row>
    <row r="84">
      <c r="A84" s="48" t="inlineStr">
        <is>
          <t>All tenants PDFs</t>
        </is>
      </c>
      <c r="B84" s="49" t="inlineStr">
        <is>
          <t>Alt+F8 → GenerateAllTenantPDFs → Run. Creates folder "Statements" next to the file with one PDF per unit.</t>
        </is>
      </c>
    </row>
    <row r="85">
      <c r="A85" s="48" t="inlineStr">
        <is>
          <t>Where PDFs go</t>
        </is>
      </c>
      <c r="B85" s="49" t="inlineStr">
        <is>
          <t>Same folder as the workbook. Filename: Statement_Unit_Tenant_Date.pdf</t>
        </is>
      </c>
    </row>
    <row r="86">
      <c r="A86" s="48" t="inlineStr">
        <is>
          <t>Google Drive</t>
        </is>
      </c>
      <c r="B86" s="49" t="inlineStr">
        <is>
          <t>Upload the PDF to Drive to share with the tenant. Macros do not run on phone.</t>
        </is>
      </c>
    </row>
    <row r="87">
      <c r="A87" s="48" t="n"/>
      <c r="B87" s="49" t="n"/>
    </row>
    <row r="88">
      <c r="A88" s="48" t="n"/>
      <c r="B88" s="49" t="n"/>
    </row>
    <row r="89">
      <c r="A89" s="73" t="n"/>
    </row>
    <row r="90">
      <c r="A90" s="73" t="n"/>
    </row>
    <row r="91">
      <c r="A91" s="73" t="n"/>
    </row>
    <row r="92">
      <c r="A92" s="73" t="n"/>
    </row>
    <row r="93">
      <c r="A93" s="73" t="n"/>
    </row>
    <row r="94">
      <c r="A94" s="73" t="n"/>
    </row>
    <row r="95">
      <c r="A95" s="73" t="n"/>
    </row>
    <row r="96">
      <c r="A96" s="73" t="n"/>
    </row>
    <row r="97">
      <c r="A97" s="73" t="n"/>
    </row>
    <row r="98">
      <c r="A98" s="73" t="n"/>
    </row>
    <row r="99">
      <c r="A99" s="73" t="n"/>
    </row>
    <row r="100">
      <c r="A100" s="73" t="n"/>
    </row>
    <row r="101">
      <c r="A101" s="73" t="n"/>
    </row>
    <row r="102">
      <c r="A102" s="73" t="n"/>
    </row>
    <row r="103">
      <c r="A103" s="73" t="n"/>
    </row>
    <row r="104">
      <c r="A104" s="73" t="n"/>
    </row>
    <row r="105">
      <c r="A105" s="73" t="n"/>
    </row>
    <row r="106">
      <c r="A106" s="73" t="n"/>
    </row>
    <row r="107">
      <c r="A107" s="73" t="n"/>
    </row>
    <row r="108">
      <c r="A108" s="73" t="n"/>
    </row>
    <row r="109">
      <c r="A109" s="73" t="n"/>
    </row>
    <row r="110">
      <c r="A110" s="73" t="n"/>
    </row>
    <row r="111">
      <c r="A111" s="73" t="n"/>
    </row>
    <row r="112">
      <c r="A112" s="73" t="n"/>
    </row>
    <row r="113">
      <c r="A113" s="73" t="n"/>
    </row>
    <row r="114">
      <c r="A114" s="73" t="n"/>
    </row>
    <row r="115">
      <c r="A115" s="73" t="n"/>
    </row>
    <row r="116">
      <c r="A116" s="73" t="n"/>
    </row>
    <row r="117">
      <c r="A117" s="73" t="n"/>
    </row>
    <row r="118">
      <c r="A118" s="73" t="n"/>
    </row>
    <row r="119">
      <c r="A119" s="73" t="n"/>
    </row>
    <row r="120">
      <c r="A120" s="73" t="n"/>
    </row>
    <row r="121">
      <c r="A121" s="73" t="n"/>
    </row>
    <row r="122">
      <c r="A122" s="73" t="n"/>
    </row>
    <row r="123">
      <c r="A123" s="73" t="n"/>
    </row>
    <row r="124">
      <c r="A124" s="73" t="n"/>
    </row>
    <row r="125">
      <c r="A125" s="73" t="n"/>
    </row>
    <row r="126">
      <c r="A126" s="73" t="n"/>
    </row>
    <row r="127">
      <c r="A127" s="73" t="n"/>
    </row>
    <row r="128">
      <c r="A128" s="73" t="n"/>
    </row>
    <row r="129">
      <c r="A129" s="73" t="n"/>
    </row>
    <row r="130">
      <c r="A130" s="73" t="n"/>
    </row>
    <row r="131">
      <c r="A131" s="73" t="n"/>
    </row>
    <row r="132">
      <c r="A132" s="73" t="n"/>
    </row>
    <row r="133">
      <c r="A133" s="73" t="n"/>
    </row>
    <row r="134">
      <c r="A134" s="73" t="n"/>
    </row>
    <row r="135">
      <c r="A135" s="73" t="n"/>
    </row>
    <row r="136">
      <c r="A136" s="73" t="n"/>
    </row>
    <row r="137">
      <c r="A137" s="73" t="n"/>
    </row>
    <row r="138">
      <c r="A138" s="73" t="n"/>
    </row>
    <row r="139">
      <c r="A139" s="73" t="n"/>
    </row>
    <row r="140">
      <c r="A140" s="73" t="n"/>
    </row>
    <row r="141">
      <c r="A141" s="73" t="n"/>
    </row>
    <row r="142">
      <c r="A142" s="73" t="n"/>
    </row>
    <row r="143">
      <c r="A143" s="73" t="n"/>
    </row>
    <row r="144">
      <c r="A144" s="73" t="n"/>
    </row>
    <row r="145">
      <c r="A145" s="73" t="n"/>
    </row>
    <row r="146">
      <c r="A146" s="73" t="n"/>
    </row>
    <row r="147">
      <c r="A147" s="73" t="n"/>
    </row>
    <row r="148">
      <c r="A148" s="73" t="n"/>
    </row>
    <row r="149">
      <c r="A149" s="73" t="n"/>
    </row>
    <row r="150">
      <c r="A150" s="73" t="n"/>
    </row>
    <row r="151">
      <c r="A151" s="73" t="n"/>
    </row>
    <row r="152">
      <c r="A152" s="73" t="n"/>
    </row>
    <row r="153">
      <c r="A153" s="73" t="n"/>
    </row>
    <row r="154">
      <c r="A154" s="73" t="n"/>
    </row>
    <row r="155">
      <c r="A155" s="73" t="n"/>
    </row>
    <row r="156">
      <c r="A156" s="73" t="n"/>
    </row>
    <row r="157">
      <c r="A157" s="73" t="n"/>
    </row>
    <row r="158">
      <c r="A158" s="73" t="n"/>
    </row>
    <row r="159">
      <c r="A159" s="73" t="n"/>
    </row>
    <row r="160">
      <c r="A160" s="73" t="n"/>
    </row>
    <row r="161">
      <c r="A161" s="73" t="n"/>
    </row>
    <row r="162">
      <c r="A162" s="73" t="n"/>
    </row>
    <row r="163">
      <c r="A163" s="73" t="n"/>
    </row>
    <row r="164">
      <c r="A164" s="73" t="n"/>
    </row>
    <row r="165">
      <c r="A165" s="73" t="n"/>
    </row>
    <row r="166">
      <c r="A166" s="73" t="n"/>
    </row>
    <row r="167">
      <c r="A167" s="73" t="n"/>
    </row>
    <row r="168">
      <c r="A168" s="73" t="n"/>
    </row>
    <row r="169">
      <c r="A169" s="73" t="n"/>
    </row>
    <row r="170">
      <c r="A170" s="73" t="n"/>
    </row>
    <row r="171">
      <c r="A171" s="73" t="n"/>
    </row>
    <row r="172">
      <c r="A172" s="73" t="n"/>
    </row>
    <row r="173">
      <c r="A173" s="73" t="n"/>
    </row>
    <row r="174">
      <c r="A174" s="73" t="n"/>
    </row>
  </sheetData>
  <mergeCells count="96">
    <mergeCell ref="A98:B98"/>
    <mergeCell ref="A107:B107"/>
    <mergeCell ref="A162:B162"/>
    <mergeCell ref="A172:B172"/>
    <mergeCell ref="A41:B41"/>
    <mergeCell ref="A90:B90"/>
    <mergeCell ref="A99:B99"/>
    <mergeCell ref="A164:B164"/>
    <mergeCell ref="A154:B154"/>
    <mergeCell ref="A163:B163"/>
    <mergeCell ref="A101:B101"/>
    <mergeCell ref="A126:B126"/>
    <mergeCell ref="A140:B140"/>
    <mergeCell ref="A109:B109"/>
    <mergeCell ref="A35:B35"/>
    <mergeCell ref="A117:B117"/>
    <mergeCell ref="A111:B111"/>
    <mergeCell ref="A167:B167"/>
    <mergeCell ref="A142:B142"/>
    <mergeCell ref="A103:B103"/>
    <mergeCell ref="A169:B169"/>
    <mergeCell ref="A153:B153"/>
    <mergeCell ref="A128:B128"/>
    <mergeCell ref="A137:B137"/>
    <mergeCell ref="A46:B46"/>
    <mergeCell ref="A89:B89"/>
    <mergeCell ref="A136:B136"/>
    <mergeCell ref="A105:B105"/>
    <mergeCell ref="A145:B145"/>
    <mergeCell ref="A139:B139"/>
    <mergeCell ref="A129:B129"/>
    <mergeCell ref="A116:B116"/>
    <mergeCell ref="A91:B91"/>
    <mergeCell ref="A131:B131"/>
    <mergeCell ref="A100:B100"/>
    <mergeCell ref="A171:B171"/>
    <mergeCell ref="A165:B165"/>
    <mergeCell ref="A10:B10"/>
    <mergeCell ref="A115:B115"/>
    <mergeCell ref="A155:B155"/>
    <mergeCell ref="A93:B93"/>
    <mergeCell ref="A102:B102"/>
    <mergeCell ref="A173:B173"/>
    <mergeCell ref="A143:B143"/>
    <mergeCell ref="A92:B92"/>
    <mergeCell ref="A157:B157"/>
    <mergeCell ref="A166:B166"/>
    <mergeCell ref="A119:B119"/>
    <mergeCell ref="A1:B1"/>
    <mergeCell ref="A94:B94"/>
    <mergeCell ref="A168:B168"/>
    <mergeCell ref="A133:B133"/>
    <mergeCell ref="A80:B80"/>
    <mergeCell ref="A120:B120"/>
    <mergeCell ref="A104:B104"/>
    <mergeCell ref="A113:B113"/>
    <mergeCell ref="A106:B106"/>
    <mergeCell ref="A4:B4"/>
    <mergeCell ref="A96:B96"/>
    <mergeCell ref="A147:B147"/>
    <mergeCell ref="A156:B156"/>
    <mergeCell ref="A170:B170"/>
    <mergeCell ref="A130:B130"/>
    <mergeCell ref="A24:B24"/>
    <mergeCell ref="A148:B148"/>
    <mergeCell ref="A123:B123"/>
    <mergeCell ref="A138:B138"/>
    <mergeCell ref="A132:B132"/>
    <mergeCell ref="A110:B110"/>
    <mergeCell ref="A146:B146"/>
    <mergeCell ref="A124:B124"/>
    <mergeCell ref="A16:B16"/>
    <mergeCell ref="A174:B174"/>
    <mergeCell ref="A108:B108"/>
    <mergeCell ref="A149:B149"/>
    <mergeCell ref="A118:B118"/>
    <mergeCell ref="A158:B158"/>
    <mergeCell ref="A95:B95"/>
    <mergeCell ref="A151:B151"/>
    <mergeCell ref="A160:B160"/>
    <mergeCell ref="A141:B141"/>
    <mergeCell ref="A135:B135"/>
    <mergeCell ref="A150:B150"/>
    <mergeCell ref="A144:B144"/>
    <mergeCell ref="A159:B159"/>
    <mergeCell ref="A122:B122"/>
    <mergeCell ref="A97:B97"/>
    <mergeCell ref="A125:B125"/>
    <mergeCell ref="A134:B134"/>
    <mergeCell ref="A112:B112"/>
    <mergeCell ref="A152:B152"/>
    <mergeCell ref="A121:B121"/>
    <mergeCell ref="A161:B161"/>
    <mergeCell ref="A127:B127"/>
    <mergeCell ref="A31:B31"/>
    <mergeCell ref="A114:B114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8"/>
  <sheetViews>
    <sheetView zoomScaleNormal="100" workbookViewId="0">
      <selection activeCell="C18" sqref="C18"/>
    </sheetView>
  </sheetViews>
  <sheetFormatPr baseColWidth="8" defaultColWidth="8.6640625" defaultRowHeight="14.4"/>
  <cols>
    <col width="14" customWidth="1" style="62" min="1" max="1"/>
    <col width="24" customWidth="1" style="62" min="3" max="3"/>
    <col width="14.109375" customWidth="1" style="62" min="4" max="4"/>
    <col width="15" customWidth="1" style="62" min="5" max="5"/>
    <col width="17" customWidth="1" style="62" min="6" max="6"/>
    <col width="18" customWidth="1" style="62" min="7" max="7"/>
    <col width="22" customWidth="1" style="62" min="8" max="8"/>
    <col width="17" customWidth="1" style="62" min="9" max="9"/>
    <col width="30" customWidth="1" style="62" min="10" max="10"/>
    <col width="12" customWidth="1" style="62" min="11" max="11"/>
    <col width="10" customWidth="1" style="62" min="12" max="12"/>
  </cols>
  <sheetData>
    <row r="1" ht="19.5" customHeight="1" s="62">
      <c r="A1" s="74" t="inlineStr">
        <is>
          <t>Unit A1 — Tenant Statement / Ledger</t>
        </is>
      </c>
    </row>
    <row r="2" ht="27.75" customHeight="1" s="62">
      <c r="A2" s="76" t="inlineStr">
        <is>
          <t>Select a month to create a Monthly Rent Charge: the date fills as the first day of that month (current year) and description fills automatically. For a payment, leave Month blank and choose Payment Received.</t>
        </is>
      </c>
    </row>
    <row r="3" ht="15" customHeight="1" s="62">
      <c r="A3" s="25" t="inlineStr">
        <is>
          <t>Unit</t>
        </is>
      </c>
      <c r="B3" s="25" t="inlineStr">
        <is>
          <t>A1</t>
        </is>
      </c>
      <c r="C3" s="25" t="inlineStr">
        <is>
          <t>Current Rent</t>
        </is>
      </c>
      <c r="D3" s="26" t="n">
        <v>5000</v>
      </c>
      <c r="E3" s="26" t="inlineStr">
        <is>
          <t>Garbage</t>
        </is>
      </c>
      <c r="F3" s="26" t="n">
        <v>100</v>
      </c>
      <c r="G3" s="25" t="inlineStr">
        <is>
          <t>Current Balance</t>
        </is>
      </c>
      <c r="H3" s="27">
        <f>IFERROR(LOOKUP(9.99E+307,I6:I32),0)</f>
        <v/>
      </c>
      <c r="I3" s="25" t="inlineStr">
        <is>
          <t>Tenant</t>
        </is>
      </c>
      <c r="J3" s="28" t="inlineStr">
        <is>
          <t>Colins Lugua</t>
        </is>
      </c>
      <c r="K3" s="29" t="inlineStr">
        <is>
          <t>Deposit Held</t>
        </is>
      </c>
      <c r="L3" s="30" t="n">
        <v>5000</v>
      </c>
    </row>
    <row r="4">
      <c r="A4" s="75" t="inlineStr">
        <is>
          <t>Current tenant only. When vacating → copy rows to Archive sheet, then clear this ledger.</t>
        </is>
      </c>
    </row>
    <row r="5" ht="15" customHeight="1" s="62">
      <c r="A5" s="31" t="inlineStr">
        <is>
          <t>Date</t>
        </is>
      </c>
      <c r="B5" s="31" t="inlineStr">
        <is>
          <t>Month</t>
        </is>
      </c>
      <c r="C5" s="31" t="inlineStr">
        <is>
          <t>Description</t>
        </is>
      </c>
      <c r="D5" s="31" t="inlineStr">
        <is>
          <t>Tenant</t>
        </is>
      </c>
      <c r="E5" s="31" t="inlineStr">
        <is>
          <t>Rent Charged</t>
        </is>
      </c>
      <c r="F5" s="31" t="inlineStr">
        <is>
          <t>Garbage Charged</t>
        </is>
      </c>
      <c r="G5" s="31" t="inlineStr">
        <is>
          <t>Payment Received</t>
        </is>
      </c>
      <c r="H5" s="31" t="inlineStr">
        <is>
          <t>M-Pesa Reference</t>
        </is>
      </c>
      <c r="I5" s="31" t="inlineStr">
        <is>
          <t>Running Balance</t>
        </is>
      </c>
      <c r="J5" s="31" t="inlineStr">
        <is>
          <t>Remarks</t>
        </is>
      </c>
    </row>
    <row r="6" ht="15" customHeight="1" s="62">
      <c r="A6" s="53">
        <f>IF(B6="","",DATE(YEAR(TODAY()),MATCH(B6,{"January","February","March","April","May","June","July","August","September","October","November","December"},0),1))</f>
        <v/>
      </c>
      <c r="B6" s="33" t="inlineStr">
        <is>
          <t>March</t>
        </is>
      </c>
      <c r="C6" s="34">
        <f>IF(B6="","","Monthly Rent Charge")</f>
        <v/>
      </c>
      <c r="D6" s="34" t="n"/>
      <c r="E6" s="35" t="n">
        <v>7500</v>
      </c>
      <c r="F6" s="35">
        <f>IF(C6="Monthly Rent Charge",$F$3,"")</f>
        <v/>
      </c>
      <c r="I6" s="36">
        <f>IF(A6="","",IF(C6="Payment Received",-IFERROR(G6,0),IF(C6="Monthly Rent Charge",IFERROR(E6,0)+IFERROR(F6,0),0)))</f>
        <v/>
      </c>
      <c r="J6" s="37" t="inlineStr">
        <is>
          <t>5,000 Depo</t>
        </is>
      </c>
    </row>
    <row r="7" ht="15" customHeight="1" s="62">
      <c r="A7" s="53" t="n">
        <v>46099</v>
      </c>
      <c r="B7" s="33" t="n"/>
      <c r="C7" s="34" t="inlineStr">
        <is>
          <t>Payment Received</t>
        </is>
      </c>
      <c r="D7" s="34" t="n"/>
      <c r="E7" s="35" t="n"/>
      <c r="F7" s="35" t="n"/>
      <c r="G7" s="38" t="n">
        <v>4900</v>
      </c>
      <c r="H7" s="39" t="inlineStr">
        <is>
          <t>UCIF49T5M4</t>
        </is>
      </c>
      <c r="I7" s="36">
        <f>IF(A7="","",IF(C7="Payment Received",I6-IFERROR(G7,0),IF(C7="Monthly Rent Charge",I6+IFERROR(E7,0)+IFERROR(F7,0),I6)))</f>
        <v/>
      </c>
      <c r="J7" s="37" t="n"/>
    </row>
    <row r="8" ht="15" customHeight="1" s="62">
      <c r="A8" s="53" t="n">
        <v>46103</v>
      </c>
      <c r="B8" s="33" t="n"/>
      <c r="C8" s="34" t="inlineStr">
        <is>
          <t>Payment Received</t>
        </is>
      </c>
      <c r="D8" s="34" t="n"/>
      <c r="E8" s="35" t="n"/>
      <c r="F8" s="35" t="n"/>
      <c r="G8" s="38" t="n">
        <v>2500</v>
      </c>
      <c r="H8" s="39" t="inlineStr">
        <is>
          <t>UCMF4A800A</t>
        </is>
      </c>
      <c r="I8" s="36">
        <f>IF(A8="","",IF(C8="Payment Received",I7-IFERROR(G8,0),IF(C8="Monthly Rent Charge",I7+IFERROR(E8,0)+IFERROR(F8,0),I7)))</f>
        <v/>
      </c>
      <c r="J8" s="38" t="inlineStr">
        <is>
          <t xml:space="preserve">Depo cleared </t>
        </is>
      </c>
    </row>
    <row r="9" ht="15" customHeight="1" s="62">
      <c r="A9" s="53" t="n">
        <v>46105</v>
      </c>
      <c r="B9" s="33" t="n"/>
      <c r="C9" s="34" t="inlineStr">
        <is>
          <t>Payment Received</t>
        </is>
      </c>
      <c r="D9" s="34" t="n"/>
      <c r="E9" s="35" t="n"/>
      <c r="F9" s="35" t="n"/>
      <c r="G9" s="38" t="n">
        <v>5000</v>
      </c>
      <c r="H9" s="39" t="inlineStr">
        <is>
          <t>UCOF4AG7GA</t>
        </is>
      </c>
      <c r="I9" s="36">
        <f>IF(A9="","",IF(C9="Payment Received",I8-IFERROR(G9,0),IF(C9="Monthly Rent Charge",I8+IFERROR(E9,0)+IFERROR(F9,0),I8)))</f>
        <v/>
      </c>
      <c r="J9" s="37" t="n"/>
    </row>
    <row r="10" ht="15" customHeight="1" s="62">
      <c r="A10" s="53" t="n">
        <v>46113</v>
      </c>
      <c r="B10" s="33" t="inlineStr">
        <is>
          <t>April</t>
        </is>
      </c>
      <c r="C10" s="34" t="inlineStr">
        <is>
          <t>Monthly Rent Charge</t>
        </is>
      </c>
      <c r="D10" s="34" t="n"/>
      <c r="E10" s="35" t="n">
        <v>5000</v>
      </c>
      <c r="F10" s="35" t="n">
        <v>100</v>
      </c>
      <c r="G10" s="38" t="n"/>
      <c r="H10" s="40" t="n"/>
      <c r="I10" s="36">
        <f>IF(A10="","",IF(C10="Payment Received",I9-IFERROR(G10,0),IF(C10="Monthly Rent Charge",I9+IFERROR(E10,0)+IFERROR(F10,0),I9)))</f>
        <v/>
      </c>
      <c r="J10" s="37" t="n"/>
    </row>
    <row r="11" ht="15" customHeight="1" s="62">
      <c r="A11" s="53" t="n">
        <v>46143</v>
      </c>
      <c r="B11" s="33" t="inlineStr">
        <is>
          <t>May</t>
        </is>
      </c>
      <c r="C11" s="34" t="inlineStr">
        <is>
          <t>Monthly Rent Charge</t>
        </is>
      </c>
      <c r="D11" s="34" t="n"/>
      <c r="E11" s="35" t="n">
        <v>5000</v>
      </c>
      <c r="F11" s="35" t="n">
        <v>100</v>
      </c>
      <c r="G11" s="38" t="n"/>
      <c r="H11" s="40" t="n"/>
      <c r="I11" s="36">
        <f>IF(A11="","",IF(C11="Payment Received",I10-IFERROR(G11,0),IF(C11="Monthly Rent Charge",I10+IFERROR(E11,0)+IFERROR(F11,0),I10)))</f>
        <v/>
      </c>
      <c r="J11" s="37" t="n"/>
    </row>
    <row r="12" ht="15" customHeight="1" s="62">
      <c r="A12" s="53" t="n">
        <v>46146</v>
      </c>
      <c r="B12" s="33" t="n"/>
      <c r="C12" s="34" t="inlineStr">
        <is>
          <t>Payment Received</t>
        </is>
      </c>
      <c r="D12" s="34" t="n"/>
      <c r="E12" s="35" t="n"/>
      <c r="F12" s="35" t="n"/>
      <c r="G12" s="38" t="n">
        <v>5000</v>
      </c>
      <c r="H12" s="39" t="inlineStr">
        <is>
          <t>UE4F437KW2</t>
        </is>
      </c>
      <c r="I12" s="36">
        <f>IF(A12="","",IF(C12="Payment Received",I11-IFERROR(G12,0),IF(C12="Monthly Rent Charge",I11+IFERROR(E12,0)+IFERROR(F12,0),I11)))</f>
        <v/>
      </c>
      <c r="J12" s="37" t="n"/>
    </row>
    <row r="13" ht="15" customHeight="1" s="62">
      <c r="A13" s="54" t="n">
        <v>46174</v>
      </c>
      <c r="B13" s="33" t="inlineStr">
        <is>
          <t>June</t>
        </is>
      </c>
      <c r="C13" s="34" t="inlineStr">
        <is>
          <t>Monthly Rent Charge</t>
        </is>
      </c>
      <c r="D13" s="34" t="n"/>
      <c r="E13" s="35">
        <f>IF(C13="Monthly Rent Charge",$D$3,"")</f>
        <v/>
      </c>
      <c r="F13" s="35">
        <f>IF(C13="Monthly Rent Charge",$F$3,"")</f>
        <v/>
      </c>
      <c r="G13" s="41" t="n"/>
      <c r="H13" s="34" t="n"/>
      <c r="I13" s="36">
        <f>IF(AND(A13="",C13=""),"",IF(C13="Payment Received",I12-IFERROR(G13,0),IF(C13="Monthly Rent Charge",I12+IFERROR(E13,0)+IFERROR(F13,0),I12)))</f>
        <v/>
      </c>
      <c r="J13" s="37" t="n"/>
    </row>
    <row r="14" ht="15" customHeight="1" s="62">
      <c r="A14" s="54" t="n">
        <v>46176</v>
      </c>
      <c r="B14" s="33" t="n"/>
      <c r="C14" s="34" t="inlineStr">
        <is>
          <t>Payment Received</t>
        </is>
      </c>
      <c r="D14" s="34" t="n"/>
      <c r="E14" s="35">
        <f>IF(C14="Monthly Rent Charge",$D$3,"")</f>
        <v/>
      </c>
      <c r="F14" s="35">
        <f>IF(C14="Monthly Rent Charge",$F$3,"")</f>
        <v/>
      </c>
      <c r="G14" s="41" t="n">
        <v>5000</v>
      </c>
      <c r="H14" s="34" t="inlineStr">
        <is>
          <t>UF3F46N58H</t>
        </is>
      </c>
      <c r="I14" s="36">
        <f>IF(AND(A14="",C14=""),"",IF(C14="Payment Received",I13-IFERROR(G14,0),IF(C14="Monthly Rent Charge",I13+IFERROR(E14,0)+IFERROR(F14,0),I13)))</f>
        <v/>
      </c>
      <c r="J14" s="37" t="n"/>
    </row>
    <row r="15" ht="15" customHeight="1" s="62">
      <c r="A15" s="54">
        <f>IF(B15="","",DATE(YEAR(TODAY()),MATCH(B15,{"January","February","March","April","May","June","July","August","September","October","November","December"},0),1))</f>
        <v/>
      </c>
      <c r="B15" s="33" t="inlineStr">
        <is>
          <t>July</t>
        </is>
      </c>
      <c r="C15" s="34">
        <f>IF(B15="","","Monthly Rent Charge")</f>
        <v/>
      </c>
      <c r="D15" s="34" t="n"/>
      <c r="E15" s="35">
        <f>IF(C15="Monthly Rent Charge",$D$3,"")</f>
        <v/>
      </c>
      <c r="F15" s="35">
        <f>IF(C15="Monthly Rent Charge",$F$3,"")</f>
        <v/>
      </c>
      <c r="G15" s="41" t="n"/>
      <c r="H15" s="34" t="n"/>
      <c r="I15" s="36">
        <f>IF(AND(A15="",C15=""),"",IF(C15="Payment Received",I14-IFERROR(G15,0),IF(C15="Monthly Rent Charge",I14+IFERROR(E15,0)+IFERROR(F15,0),I14)))</f>
        <v/>
      </c>
      <c r="J15" s="37" t="n"/>
    </row>
    <row r="16" ht="15" customHeight="1" s="62">
      <c r="A16" s="54" t="n">
        <v>46206</v>
      </c>
      <c r="B16" s="33" t="n"/>
      <c r="C16" s="34" t="inlineStr">
        <is>
          <t>Payment Received</t>
        </is>
      </c>
      <c r="D16" s="34" t="n"/>
      <c r="E16" s="35">
        <f>IF(C16="Monthly Rent Charge",$D$3,"")</f>
        <v/>
      </c>
      <c r="F16" s="35">
        <f>IF(C16="Monthly Rent Charge",$F$3,"")</f>
        <v/>
      </c>
      <c r="G16" s="41" t="n">
        <v>5100</v>
      </c>
      <c r="H16" s="34" t="n"/>
      <c r="I16" s="36">
        <f>IF(AND(A16="",C16=""),"",IF(C16="Payment Received",I15-IFERROR(G16,0),IF(C16="Monthly Rent Charge",I15+IFERROR(E16,0)+IFERROR(F16,0),I15)))</f>
        <v/>
      </c>
      <c r="J16" s="37" t="n"/>
    </row>
    <row r="17" ht="15" customHeight="1" s="62">
      <c r="A17" s="54">
        <f>IF(B17="","",DATE(YEAR(TODAY()),MATCH(B17,{"January","February","March","April","May","June","July","August","September","October","November","December"},0),1))</f>
        <v/>
      </c>
      <c r="B17" s="33" t="inlineStr">
        <is>
          <t>August</t>
        </is>
      </c>
      <c r="C17" s="34">
        <f>IF(B17="","","Monthly Rent Charge")</f>
        <v/>
      </c>
      <c r="D17" s="34" t="n"/>
      <c r="E17" s="35">
        <f>IF(C17="Monthly Rent Charge",$D$3,"")</f>
        <v/>
      </c>
      <c r="F17" s="35">
        <f>IF(C17="Monthly Rent Charge",$F$3,"")</f>
        <v/>
      </c>
      <c r="G17" s="41" t="n"/>
      <c r="H17" s="34" t="n"/>
      <c r="I17" s="36">
        <f>IF(AND(A17="",C17=""),"",IF(C17="Payment Received",I16-IFERROR(G17,0),IF(C17="Monthly Rent Charge",I16+IFERROR(E17,0)+IFERROR(F17,0),I16)))</f>
        <v/>
      </c>
      <c r="J17" s="37" t="n"/>
    </row>
    <row r="18" ht="15" customHeight="1" s="62">
      <c r="A18" s="54">
        <f>IF(B18="","",DATE(YEAR(TODAY()),MATCH(B18,{"January","February","March","April","May","June","July","August","September","October","November","December"},0),1))</f>
        <v/>
      </c>
      <c r="B18" s="33" t="n"/>
      <c r="C18" s="34">
        <f>IF(B18="","","Monthly Rent Charge")</f>
        <v/>
      </c>
      <c r="D18" s="34" t="n"/>
      <c r="E18" s="35">
        <f>IF(C18="Monthly Rent Charge",$D$3,"")</f>
        <v/>
      </c>
      <c r="F18" s="35">
        <f>IF(C18="Monthly Rent Charge",$F$3,"")</f>
        <v/>
      </c>
      <c r="G18" s="41" t="n"/>
      <c r="H18" s="34" t="n"/>
      <c r="I18" s="36">
        <f>IF(AND(A18="",C18=""),"",IF(C18="Payment Received",I17-IFERROR(G18,0),IF(C18="Monthly Rent Charge",I17+IFERROR(E18,0)+IFERROR(F18,0),IFERROR(I17,0))))</f>
        <v/>
      </c>
      <c r="J18" s="37" t="n"/>
    </row>
    <row r="19" ht="15" customHeight="1" s="62">
      <c r="A19" s="54">
        <f>IF(B19="","",DATE(YEAR(TODAY()),MATCH(B19,{"January","February","March","April","May","June","July","August","September","October","November","December"},0),1))</f>
        <v/>
      </c>
      <c r="B19" s="33" t="n"/>
      <c r="C19" s="34">
        <f>IF(B19="","","Monthly Rent Charge")</f>
        <v/>
      </c>
      <c r="D19" s="34" t="n"/>
      <c r="E19" s="35">
        <f>IF(C19="Monthly Rent Charge",$D$3,"")</f>
        <v/>
      </c>
      <c r="F19" s="35">
        <f>IF(C19="Monthly Rent Charge",$F$3,"")</f>
        <v/>
      </c>
      <c r="G19" s="41" t="n"/>
      <c r="H19" s="34" t="n"/>
      <c r="I19" s="36">
        <f>IF(AND(A19="",C19=""),"",IF(C19="Payment Received",I18-IFERROR(G19,0),IF(C19="Monthly Rent Charge",I18+IFERROR(E19,0)+IFERROR(F19,0),IFERROR(I18,0))))</f>
        <v/>
      </c>
      <c r="J19" s="37" t="n"/>
    </row>
    <row r="20" ht="15" customHeight="1" s="62">
      <c r="A20" s="54">
        <f>IF(B20="","",DATE(YEAR(TODAY()),MATCH(B20,{"January","February","March","April","May","June","July","August","September","October","November","December"},0),1))</f>
        <v/>
      </c>
      <c r="B20" s="33" t="n"/>
      <c r="C20" s="34">
        <f>IF(B20="","","Monthly Rent Charge")</f>
        <v/>
      </c>
      <c r="D20" s="34" t="n"/>
      <c r="E20" s="35">
        <f>IF(C20="Monthly Rent Charge",$D$3,"")</f>
        <v/>
      </c>
      <c r="F20" s="35">
        <f>IF(C20="Monthly Rent Charge",$F$3,"")</f>
        <v/>
      </c>
      <c r="G20" s="41" t="n"/>
      <c r="H20" s="34" t="n"/>
      <c r="I20" s="36">
        <f>IF(AND(A20="",C20=""),"",IF(C20="Payment Received",I19-IFERROR(G20,0),IF(C20="Monthly Rent Charge",I19+IFERROR(E20,0)+IFERROR(F20,0),IFERROR(I19,0))))</f>
        <v/>
      </c>
      <c r="J20" s="37" t="n"/>
    </row>
    <row r="21" ht="15" customHeight="1" s="62">
      <c r="A21" s="54">
        <f>IF(B21="","",DATE(YEAR(TODAY()),MATCH(B21,{"January","February","March","April","May","June","July","August","September","October","November","December"},0),1))</f>
        <v/>
      </c>
      <c r="B21" s="33" t="n"/>
      <c r="C21" s="34">
        <f>IF(B21="","","Monthly Rent Charge")</f>
        <v/>
      </c>
      <c r="D21" s="34" t="n"/>
      <c r="E21" s="35">
        <f>IF(C21="Monthly Rent Charge",$D$3,"")</f>
        <v/>
      </c>
      <c r="F21" s="35">
        <f>IF(C21="Monthly Rent Charge",$F$3,"")</f>
        <v/>
      </c>
      <c r="G21" s="41" t="n"/>
      <c r="H21" s="34" t="n"/>
      <c r="I21" s="36">
        <f>IF(AND(A21="",C21=""),"",IF(C21="Payment Received",I20-IFERROR(G21,0),IF(C21="Monthly Rent Charge",I20+IFERROR(E21,0)+IFERROR(F21,0),IFERROR(I20,0))))</f>
        <v/>
      </c>
      <c r="J21" s="37" t="n"/>
    </row>
    <row r="22" ht="15" customHeight="1" s="62">
      <c r="A22" s="54">
        <f>IF(B22="","",DATE(YEAR(TODAY()),MATCH(B22,{"January","February","March","April","May","June","July","August","September","October","November","December"},0),1))</f>
        <v/>
      </c>
      <c r="B22" s="33" t="n"/>
      <c r="C22" s="34">
        <f>IF(B22="","","Monthly Rent Charge")</f>
        <v/>
      </c>
      <c r="D22" s="34" t="n"/>
      <c r="E22" s="35">
        <f>IF(C22="Monthly Rent Charge",$D$3,"")</f>
        <v/>
      </c>
      <c r="F22" s="35">
        <f>IF(C22="Monthly Rent Charge",$F$3,"")</f>
        <v/>
      </c>
      <c r="G22" s="41" t="n"/>
      <c r="H22" s="34" t="n"/>
      <c r="I22" s="36">
        <f>IF(AND(A22="",C22=""),"",IF(C22="Payment Received",I21-IFERROR(G22,0),IF(C22="Monthly Rent Charge",I21+IFERROR(E22,0)+IFERROR(F22,0),IFERROR(I21,0))))</f>
        <v/>
      </c>
      <c r="J22" s="37" t="n"/>
    </row>
    <row r="23" ht="15" customHeight="1" s="62">
      <c r="A23" s="54">
        <f>IF(B23="","",DATE(YEAR(TODAY()),MATCH(B23,{"January","February","March","April","May","June","July","August","September","October","November","December"},0),1))</f>
        <v/>
      </c>
      <c r="B23" s="33" t="n"/>
      <c r="C23" s="34">
        <f>IF(B23="","","Monthly Rent Charge")</f>
        <v/>
      </c>
      <c r="D23" s="34" t="n"/>
      <c r="E23" s="35">
        <f>IF(C23="Monthly Rent Charge",$D$3,"")</f>
        <v/>
      </c>
      <c r="F23" s="35">
        <f>IF(C23="Monthly Rent Charge",$F$3,"")</f>
        <v/>
      </c>
      <c r="G23" s="41" t="n"/>
      <c r="H23" s="34" t="n"/>
      <c r="I23" s="36">
        <f>IF(AND(A23="",C23=""),"",IF(C23="Payment Received",I22-IFERROR(G23,0),IF(C23="Monthly Rent Charge",I22+IFERROR(E23,0)+IFERROR(F23,0),IFERROR(I22,0))))</f>
        <v/>
      </c>
      <c r="J23" s="37" t="n"/>
    </row>
    <row r="24" ht="15" customHeight="1" s="62">
      <c r="A24" s="54">
        <f>IF(B24="","",DATE(YEAR(TODAY()),MATCH(B24,{"January","February","March","April","May","June","July","August","September","October","November","December"},0),1))</f>
        <v/>
      </c>
      <c r="B24" s="33" t="n"/>
      <c r="C24" s="34">
        <f>IF(B24="","","Monthly Rent Charge")</f>
        <v/>
      </c>
      <c r="D24" s="34" t="n"/>
      <c r="E24" s="35">
        <f>IF(C24="Monthly Rent Charge",$D$3,"")</f>
        <v/>
      </c>
      <c r="F24" s="35">
        <f>IF(C24="Monthly Rent Charge",$F$3,"")</f>
        <v/>
      </c>
      <c r="G24" s="41" t="n"/>
      <c r="H24" s="34" t="n"/>
      <c r="I24" s="36">
        <f>IF(AND(A24="",C24=""),"",IF(C24="Payment Received",I23-IFERROR(G24,0),IF(C24="Monthly Rent Charge",I23+IFERROR(E24,0)+IFERROR(F24,0),IFERROR(I23,0))))</f>
        <v/>
      </c>
      <c r="J24" s="37" t="n"/>
    </row>
    <row r="25" ht="15" customHeight="1" s="62">
      <c r="A25" s="54">
        <f>IF(B25="","",DATE(YEAR(TODAY()),MATCH(B25,{"January","February","March","April","May","June","July","August","September","October","November","December"},0),1))</f>
        <v/>
      </c>
      <c r="B25" s="33" t="n"/>
      <c r="C25" s="34">
        <f>IF(B25="","","Monthly Rent Charge")</f>
        <v/>
      </c>
      <c r="D25" s="34" t="n"/>
      <c r="E25" s="35">
        <f>IF(C25="Monthly Rent Charge",$D$3,"")</f>
        <v/>
      </c>
      <c r="F25" s="35">
        <f>IF(C25="Monthly Rent Charge",$F$3,"")</f>
        <v/>
      </c>
      <c r="G25" s="41" t="n"/>
      <c r="H25" s="34" t="n"/>
      <c r="I25" s="36">
        <f>IF(AND(A25="",C25=""),"",IF(C25="Payment Received",I24-IFERROR(G25,0),IF(C25="Monthly Rent Charge",I24+IFERROR(E25,0)+IFERROR(F25,0),IFERROR(I24,0))))</f>
        <v/>
      </c>
      <c r="J25" s="37" t="n"/>
    </row>
    <row r="26" ht="15" customHeight="1" s="62">
      <c r="A26" s="54">
        <f>IF(B26="","",DATE(YEAR(TODAY()),MATCH(B26,{"January","February","March","April","May","June","July","August","September","October","November","December"},0),1))</f>
        <v/>
      </c>
      <c r="B26" s="33" t="n"/>
      <c r="C26" s="34">
        <f>IF(B26="","","Monthly Rent Charge")</f>
        <v/>
      </c>
      <c r="D26" s="34" t="n"/>
      <c r="E26" s="35">
        <f>IF(C26="Monthly Rent Charge",$D$3,"")</f>
        <v/>
      </c>
      <c r="F26" s="35">
        <f>IF(C26="Monthly Rent Charge",$F$3,"")</f>
        <v/>
      </c>
      <c r="G26" s="41" t="n"/>
      <c r="H26" s="34" t="n"/>
      <c r="I26" s="36">
        <f>IF(AND(A26="",C26=""),"",IF(C26="Payment Received",I25-IFERROR(G26,0),IF(C26="Monthly Rent Charge",I25+IFERROR(E26,0)+IFERROR(F26,0),IFERROR(I25,0))))</f>
        <v/>
      </c>
      <c r="J26" s="37" t="n"/>
    </row>
    <row r="27" ht="15" customHeight="1" s="62">
      <c r="A27" s="54">
        <f>IF(B27="","",DATE(YEAR(TODAY()),MATCH(B27,{"January","February","March","April","May","June","July","August","September","October","November","December"},0),1))</f>
        <v/>
      </c>
      <c r="B27" s="33" t="n"/>
      <c r="C27" s="34">
        <f>IF(B27="","","Monthly Rent Charge")</f>
        <v/>
      </c>
      <c r="D27" s="34" t="n"/>
      <c r="E27" s="35">
        <f>IF(C27="Monthly Rent Charge",$D$3,"")</f>
        <v/>
      </c>
      <c r="F27" s="35">
        <f>IF(C27="Monthly Rent Charge",$F$3,"")</f>
        <v/>
      </c>
      <c r="G27" s="41" t="n"/>
      <c r="H27" s="34" t="n"/>
      <c r="I27" s="36">
        <f>IF(AND(A27="",C27=""),"",IF(C27="Payment Received",I26-IFERROR(G27,0),IF(C27="Monthly Rent Charge",I26+IFERROR(E27,0)+IFERROR(F27,0),IFERROR(I26,0))))</f>
        <v/>
      </c>
      <c r="J27" s="37" t="n"/>
    </row>
    <row r="28" ht="15" customHeight="1" s="62">
      <c r="A28" s="54">
        <f>IF(B28="","",DATE(YEAR(TODAY()),MATCH(B28,{"January","February","March","April","May","June","July","August","September","October","November","December"},0),1))</f>
        <v/>
      </c>
      <c r="B28" s="33" t="n"/>
      <c r="C28" s="34">
        <f>IF(B28="","","Monthly Rent Charge")</f>
        <v/>
      </c>
      <c r="D28" s="34" t="n"/>
      <c r="E28" s="35">
        <f>IF(C28="Monthly Rent Charge",$D$3,"")</f>
        <v/>
      </c>
      <c r="F28" s="35">
        <f>IF(C28="Monthly Rent Charge",$F$3,"")</f>
        <v/>
      </c>
      <c r="G28" s="41" t="n"/>
      <c r="H28" s="34" t="n"/>
      <c r="I28" s="36">
        <f>IF(AND(A28="",C28=""),"",IF(C28="Payment Received",I27-IFERROR(G28,0),IF(C28="Monthly Rent Charge",I27+IFERROR(E28,0)+IFERROR(F28,0),IFERROR(I27,0))))</f>
        <v/>
      </c>
      <c r="J28" s="37" t="n"/>
    </row>
    <row r="29" ht="15" customHeight="1" s="62">
      <c r="A29" s="54">
        <f>IF(B29="","",DATE(YEAR(TODAY()),MATCH(B29,{"January","February","March","April","May","June","July","August","September","October","November","December"},0),1))</f>
        <v/>
      </c>
      <c r="B29" s="33" t="n"/>
      <c r="C29" s="34">
        <f>IF(B29="","","Monthly Rent Charge")</f>
        <v/>
      </c>
      <c r="D29" s="34" t="n"/>
      <c r="E29" s="35">
        <f>IF(C29="Monthly Rent Charge",$D$3,"")</f>
        <v/>
      </c>
      <c r="F29" s="35">
        <f>IF(C29="Monthly Rent Charge",$F$3,"")</f>
        <v/>
      </c>
      <c r="G29" s="41" t="n"/>
      <c r="H29" s="34" t="n"/>
      <c r="I29" s="36">
        <f>IF(AND(A29="",C29=""),"",IF(C29="Payment Received",I28-IFERROR(G29,0),IF(C29="Monthly Rent Charge",I28+IFERROR(E29,0)+IFERROR(F29,0),IFERROR(I28,0))))</f>
        <v/>
      </c>
      <c r="J29" s="37" t="n"/>
    </row>
    <row r="30" ht="15" customHeight="1" s="62">
      <c r="A30" s="54">
        <f>IF(B30="","",DATE(YEAR(TODAY()),MATCH(B30,{"January","February","March","April","May","June","July","August","September","October","November","December"},0),1))</f>
        <v/>
      </c>
      <c r="B30" s="33" t="n"/>
      <c r="C30" s="34">
        <f>IF(B30="","","Monthly Rent Charge")</f>
        <v/>
      </c>
      <c r="D30" s="34" t="n"/>
      <c r="E30" s="35">
        <f>IF(C30="Monthly Rent Charge",$D$3,"")</f>
        <v/>
      </c>
      <c r="F30" s="35">
        <f>IF(C30="Monthly Rent Charge",$F$3,"")</f>
        <v/>
      </c>
      <c r="G30" s="41" t="n"/>
      <c r="H30" s="34" t="n"/>
      <c r="I30" s="36">
        <f>IF(AND(A30="",C30=""),"",IF(C30="Payment Received",I29-IFERROR(G30,0),IF(C30="Monthly Rent Charge",I29+IFERROR(E30,0)+IFERROR(F30,0),IFERROR(I29,0))))</f>
        <v/>
      </c>
      <c r="J30" s="37" t="n"/>
    </row>
    <row r="31" ht="15" customHeight="1" s="62">
      <c r="A31" s="54">
        <f>IF(B31="","",DATE(YEAR(TODAY()),MATCH(B31,{"January","February","March","April","May","June","July","August","September","October","November","December"},0),1))</f>
        <v/>
      </c>
      <c r="B31" s="33" t="n"/>
      <c r="C31" s="34">
        <f>IF(B31="","","Monthly Rent Charge")</f>
        <v/>
      </c>
      <c r="D31" s="34" t="n"/>
      <c r="E31" s="35">
        <f>IF(C31="Monthly Rent Charge",$D$3,"")</f>
        <v/>
      </c>
      <c r="F31" s="35">
        <f>IF(C31="Monthly Rent Charge",$F$3,"")</f>
        <v/>
      </c>
      <c r="G31" s="41" t="n"/>
      <c r="H31" s="34" t="n"/>
      <c r="I31" s="36">
        <f>IF(AND(A31="",C31=""),"",IF(C31="Payment Received",I30-IFERROR(G31,0),IF(C31="Monthly Rent Charge",I30+IFERROR(E31,0)+IFERROR(F31,0),IFERROR(I30,0))))</f>
        <v/>
      </c>
      <c r="J31" s="37" t="n"/>
    </row>
    <row r="32" ht="15" customHeight="1" s="62">
      <c r="A32" s="54">
        <f>IF(B32="","",DATE(YEAR(TODAY()),MATCH(B32,{"January","February","March","April","May","June","July","August","September","October","November","December"},0),1))</f>
        <v/>
      </c>
      <c r="B32" s="33" t="n"/>
      <c r="C32" s="34">
        <f>IF(B32="","","Monthly Rent Charge")</f>
        <v/>
      </c>
      <c r="D32" s="34" t="n"/>
      <c r="E32" s="35">
        <f>IF(C32="Monthly Rent Charge",$D$3,"")</f>
        <v/>
      </c>
      <c r="F32" s="35">
        <f>IF(C32="Monthly Rent Charge",$F$3,"")</f>
        <v/>
      </c>
      <c r="G32" s="41" t="n"/>
      <c r="H32" s="34" t="n"/>
      <c r="I32" s="36">
        <f>IF(AND(A32="",C32=""),"",IF(C32="Payment Received",I31-IFERROR(G32,0),IF(C32="Monthly Rent Charge",I31+IFERROR(E32,0)+IFERROR(F32,0),IFERROR(I31,0))))</f>
        <v/>
      </c>
      <c r="J32" s="37" t="n"/>
    </row>
    <row r="33" ht="15" customHeight="1" s="62">
      <c r="A33" s="54" t="n"/>
      <c r="B33" s="33" t="n"/>
      <c r="C33" s="34" t="n"/>
      <c r="D33" s="34" t="n"/>
      <c r="E33" s="35" t="n"/>
      <c r="F33" s="35" t="n"/>
      <c r="G33" s="41" t="n"/>
      <c r="H33" s="34" t="n"/>
      <c r="I33" s="36" t="n"/>
      <c r="J33" s="37" t="n"/>
    </row>
    <row r="34" ht="15" customHeight="1" s="62">
      <c r="A34" s="54" t="n"/>
      <c r="B34" s="33" t="n"/>
      <c r="C34" s="34" t="n"/>
      <c r="D34" s="34" t="n"/>
      <c r="E34" s="35" t="n"/>
      <c r="F34" s="35" t="n"/>
      <c r="G34" s="41" t="n"/>
      <c r="H34" s="34" t="n"/>
      <c r="I34" s="36" t="n"/>
      <c r="J34" s="37" t="n"/>
    </row>
    <row r="35" ht="15" customHeight="1" s="62">
      <c r="A35" s="54" t="n"/>
      <c r="B35" s="33" t="n"/>
      <c r="C35" s="34" t="n"/>
      <c r="D35" s="34" t="n"/>
      <c r="E35" s="35" t="n"/>
      <c r="F35" s="35" t="n"/>
      <c r="G35" s="41" t="n"/>
      <c r="H35" s="34" t="n"/>
      <c r="I35" s="36" t="n"/>
      <c r="J35" s="37" t="n"/>
    </row>
    <row r="36" ht="15" customHeight="1" s="62">
      <c r="A36" s="54" t="n"/>
      <c r="B36" s="33" t="n"/>
      <c r="C36" s="34" t="n"/>
      <c r="D36" s="34" t="n"/>
      <c r="E36" s="35" t="n"/>
      <c r="F36" s="35" t="n"/>
      <c r="G36" s="41" t="n"/>
      <c r="H36" s="34" t="n"/>
      <c r="I36" s="36" t="n"/>
      <c r="J36" s="37" t="n"/>
    </row>
    <row r="37" ht="15" customHeight="1" s="62">
      <c r="A37" s="54" t="n"/>
      <c r="B37" s="33" t="n"/>
      <c r="C37" s="34" t="n"/>
      <c r="D37" s="34" t="n"/>
      <c r="E37" s="35" t="n"/>
      <c r="F37" s="35" t="n"/>
      <c r="G37" s="41" t="n"/>
      <c r="H37" s="34" t="n"/>
      <c r="I37" s="36" t="n"/>
      <c r="J37" s="37" t="n"/>
    </row>
    <row r="38" ht="15" customHeight="1" s="62">
      <c r="A38" s="54" t="n"/>
      <c r="B38" s="33" t="n"/>
      <c r="C38" s="34" t="n"/>
      <c r="D38" s="34" t="n"/>
      <c r="E38" s="35" t="n"/>
      <c r="F38" s="35" t="n"/>
      <c r="G38" s="41" t="n"/>
      <c r="H38" s="34" t="n"/>
      <c r="I38" s="36" t="n"/>
      <c r="J38" s="37" t="n"/>
    </row>
    <row r="39" ht="15" customHeight="1" s="62">
      <c r="A39" s="54" t="n"/>
      <c r="B39" s="33" t="n"/>
      <c r="C39" s="34" t="n"/>
      <c r="D39" s="34" t="n"/>
      <c r="E39" s="35" t="n"/>
      <c r="F39" s="35" t="n"/>
      <c r="G39" s="41" t="n"/>
      <c r="H39" s="34" t="n"/>
      <c r="I39" s="36" t="n"/>
      <c r="J39" s="37" t="n"/>
    </row>
    <row r="40" ht="15" customHeight="1" s="62">
      <c r="A40" s="54" t="n"/>
      <c r="B40" s="33" t="n"/>
      <c r="C40" s="34" t="n"/>
      <c r="D40" s="34" t="n"/>
      <c r="E40" s="35" t="n"/>
      <c r="F40" s="35" t="n"/>
      <c r="G40" s="41" t="n"/>
      <c r="H40" s="34" t="n"/>
      <c r="I40" s="36" t="n"/>
      <c r="J40" s="37" t="n"/>
    </row>
    <row r="41" ht="15" customHeight="1" s="62">
      <c r="A41" s="54" t="n"/>
      <c r="B41" s="33" t="n"/>
      <c r="C41" s="34" t="n"/>
      <c r="D41" s="34" t="n"/>
      <c r="E41" s="35" t="n"/>
      <c r="F41" s="35" t="n"/>
      <c r="G41" s="41" t="n"/>
      <c r="H41" s="34" t="n"/>
      <c r="I41" s="36" t="n"/>
      <c r="J41" s="37" t="n"/>
    </row>
    <row r="42" ht="15" customHeight="1" s="62">
      <c r="A42" s="54" t="n"/>
      <c r="B42" s="33" t="n"/>
      <c r="C42" s="34" t="n"/>
      <c r="D42" s="34" t="n"/>
      <c r="E42" s="35" t="n"/>
      <c r="F42" s="35" t="n"/>
      <c r="G42" s="41" t="n"/>
      <c r="H42" s="34" t="n"/>
      <c r="I42" s="36" t="n"/>
      <c r="J42" s="37" t="n"/>
    </row>
    <row r="43" ht="15" customHeight="1" s="62">
      <c r="A43" s="54" t="n"/>
      <c r="B43" s="33" t="n"/>
      <c r="C43" s="34" t="n"/>
      <c r="D43" s="34" t="n"/>
      <c r="E43" s="35" t="n"/>
      <c r="F43" s="35" t="n"/>
      <c r="G43" s="41" t="n"/>
      <c r="H43" s="34" t="n"/>
      <c r="I43" s="36" t="n"/>
      <c r="J43" s="37" t="n"/>
    </row>
    <row r="44" ht="15" customHeight="1" s="62">
      <c r="A44" s="54" t="n"/>
      <c r="B44" s="33" t="n"/>
      <c r="C44" s="34" t="n"/>
      <c r="D44" s="34" t="n"/>
      <c r="E44" s="35" t="n"/>
      <c r="F44" s="35" t="n"/>
      <c r="G44" s="41" t="n"/>
      <c r="H44" s="34" t="n"/>
      <c r="I44" s="36" t="n"/>
      <c r="J44" s="37" t="n"/>
    </row>
    <row r="45" ht="15" customHeight="1" s="62">
      <c r="A45" s="54" t="n"/>
      <c r="B45" s="33" t="n"/>
      <c r="C45" s="34" t="n"/>
      <c r="D45" s="34" t="n"/>
      <c r="E45" s="35" t="n"/>
      <c r="F45" s="35" t="n"/>
      <c r="G45" s="41" t="n"/>
      <c r="H45" s="34" t="n"/>
      <c r="I45" s="36" t="n"/>
      <c r="J45" s="37" t="n"/>
    </row>
    <row r="46" ht="15" customHeight="1" s="62">
      <c r="A46" s="54" t="n"/>
      <c r="B46" s="33" t="n"/>
      <c r="C46" s="34" t="n"/>
      <c r="D46" s="34" t="n"/>
      <c r="E46" s="35" t="n"/>
      <c r="F46" s="35" t="n"/>
      <c r="G46" s="41" t="n"/>
      <c r="H46" s="34" t="n"/>
      <c r="I46" s="36" t="n"/>
      <c r="J46" s="37" t="n"/>
    </row>
    <row r="47" ht="15" customHeight="1" s="62">
      <c r="A47" s="54" t="n"/>
      <c r="B47" s="33" t="n"/>
      <c r="C47" s="34" t="n"/>
      <c r="D47" s="34" t="n"/>
      <c r="E47" s="35" t="n"/>
      <c r="F47" s="35" t="n"/>
      <c r="G47" s="41" t="n"/>
      <c r="H47" s="34" t="n"/>
      <c r="I47" s="36" t="n"/>
      <c r="J47" s="37" t="n"/>
    </row>
    <row r="48" ht="15" customHeight="1" s="62">
      <c r="A48" s="54" t="n"/>
      <c r="B48" s="33" t="n"/>
      <c r="C48" s="34" t="n"/>
      <c r="D48" s="34" t="n"/>
      <c r="E48" s="35" t="n"/>
      <c r="F48" s="35" t="n"/>
      <c r="G48" s="41" t="n"/>
      <c r="H48" s="34" t="n"/>
      <c r="I48" s="36" t="n"/>
      <c r="J48" s="37" t="n"/>
    </row>
    <row r="49" ht="15" customHeight="1" s="62">
      <c r="A49" s="54" t="n"/>
      <c r="B49" s="33" t="n"/>
      <c r="C49" s="34" t="n"/>
      <c r="D49" s="34" t="n"/>
      <c r="E49" s="35" t="n"/>
      <c r="F49" s="35" t="n"/>
      <c r="G49" s="41" t="n"/>
      <c r="H49" s="34" t="n"/>
      <c r="I49" s="36" t="n"/>
      <c r="J49" s="37" t="n"/>
    </row>
    <row r="50" ht="15" customHeight="1" s="62">
      <c r="A50" s="54" t="n"/>
      <c r="B50" s="33" t="n"/>
      <c r="C50" s="34" t="n"/>
      <c r="D50" s="34" t="n"/>
      <c r="E50" s="35" t="n"/>
      <c r="F50" s="35" t="n"/>
      <c r="G50" s="41" t="n"/>
      <c r="H50" s="34" t="n"/>
      <c r="I50" s="36" t="n"/>
      <c r="J50" s="37" t="n"/>
    </row>
    <row r="51" ht="15" customHeight="1" s="62">
      <c r="A51" s="54" t="n"/>
      <c r="B51" s="33" t="n"/>
      <c r="C51" s="34" t="n"/>
      <c r="D51" s="34" t="n"/>
      <c r="E51" s="35" t="n"/>
      <c r="F51" s="35" t="n"/>
      <c r="G51" s="41" t="n"/>
      <c r="H51" s="34" t="n"/>
      <c r="I51" s="36" t="n"/>
      <c r="J51" s="37" t="n"/>
    </row>
    <row r="52" ht="15" customHeight="1" s="62">
      <c r="A52" s="54" t="n"/>
      <c r="B52" s="33" t="n"/>
      <c r="C52" s="34" t="n"/>
      <c r="D52" s="34" t="n"/>
      <c r="E52" s="35" t="n"/>
      <c r="F52" s="35" t="n"/>
      <c r="G52" s="41" t="n"/>
      <c r="H52" s="34" t="n"/>
      <c r="I52" s="36" t="n"/>
      <c r="J52" s="37" t="n"/>
    </row>
    <row r="53" ht="15" customHeight="1" s="62">
      <c r="A53" s="54" t="n"/>
      <c r="B53" s="33" t="n"/>
      <c r="C53" s="34" t="n"/>
      <c r="D53" s="34" t="n"/>
      <c r="E53" s="35" t="n"/>
      <c r="F53" s="35" t="n"/>
      <c r="G53" s="41" t="n"/>
      <c r="H53" s="34" t="n"/>
      <c r="I53" s="36" t="n"/>
      <c r="J53" s="37" t="n"/>
    </row>
    <row r="54" ht="15" customHeight="1" s="62">
      <c r="A54" s="54" t="n"/>
      <c r="B54" s="33" t="n"/>
      <c r="C54" s="34" t="n"/>
      <c r="D54" s="34" t="n"/>
      <c r="E54" s="35" t="n"/>
      <c r="F54" s="35" t="n"/>
      <c r="G54" s="41" t="n"/>
      <c r="H54" s="34" t="n"/>
      <c r="I54" s="36" t="n"/>
      <c r="J54" s="37" t="n"/>
    </row>
    <row r="55" ht="15" customHeight="1" s="62">
      <c r="A55" s="54" t="n"/>
      <c r="B55" s="33" t="n"/>
      <c r="C55" s="34" t="n"/>
      <c r="D55" s="34" t="n"/>
      <c r="E55" s="35" t="n"/>
      <c r="F55" s="35" t="n"/>
      <c r="G55" s="41" t="n"/>
      <c r="H55" s="34" t="n"/>
      <c r="I55" s="36" t="n"/>
      <c r="J55" s="37" t="n"/>
    </row>
    <row r="56" ht="15" customHeight="1" s="62">
      <c r="A56" s="54" t="n"/>
      <c r="B56" s="33" t="n"/>
      <c r="C56" s="34" t="n"/>
      <c r="D56" s="34" t="n"/>
      <c r="E56" s="35" t="n"/>
      <c r="F56" s="35" t="n"/>
      <c r="G56" s="41" t="n"/>
      <c r="H56" s="34" t="n"/>
      <c r="I56" s="36" t="n"/>
      <c r="J56" s="37" t="n"/>
    </row>
    <row r="57" ht="15" customHeight="1" s="62">
      <c r="A57" s="54" t="n"/>
      <c r="B57" s="33" t="n"/>
      <c r="C57" s="34" t="n"/>
      <c r="D57" s="34" t="n"/>
      <c r="E57" s="35" t="n"/>
      <c r="F57" s="35" t="n"/>
      <c r="G57" s="41" t="n"/>
      <c r="H57" s="34" t="n"/>
      <c r="I57" s="36" t="n"/>
      <c r="J57" s="37" t="n"/>
    </row>
    <row r="58" ht="15" customHeight="1" s="62">
      <c r="A58" s="54" t="n"/>
      <c r="B58" s="33" t="n"/>
      <c r="C58" s="34" t="n"/>
      <c r="D58" s="34" t="n"/>
      <c r="E58" s="35" t="n"/>
      <c r="F58" s="35" t="n"/>
      <c r="G58" s="41" t="n"/>
      <c r="H58" s="34" t="n"/>
      <c r="I58" s="36" t="n"/>
      <c r="J58" s="37" t="n"/>
    </row>
    <row r="59" ht="15" customHeight="1" s="62">
      <c r="A59" s="54" t="n"/>
      <c r="B59" s="33" t="n"/>
      <c r="C59" s="34" t="n"/>
      <c r="D59" s="34" t="n"/>
      <c r="E59" s="35" t="n"/>
      <c r="F59" s="35" t="n"/>
      <c r="G59" s="41" t="n"/>
      <c r="H59" s="34" t="n"/>
      <c r="I59" s="36" t="n"/>
      <c r="J59" s="37" t="n"/>
    </row>
    <row r="60" ht="15" customHeight="1" s="62">
      <c r="A60" s="54" t="n"/>
      <c r="B60" s="33" t="n"/>
      <c r="C60" s="34" t="n"/>
      <c r="D60" s="34" t="n"/>
      <c r="E60" s="35" t="n"/>
      <c r="F60" s="35" t="n"/>
      <c r="G60" s="41" t="n"/>
      <c r="H60" s="34" t="n"/>
      <c r="I60" s="36" t="n"/>
      <c r="J60" s="37" t="n"/>
    </row>
    <row r="61" ht="15" customHeight="1" s="62">
      <c r="A61" s="54" t="n"/>
      <c r="B61" s="33" t="n"/>
      <c r="C61" s="34" t="n"/>
      <c r="D61" s="34" t="n"/>
      <c r="E61" s="35" t="n"/>
      <c r="F61" s="35" t="n"/>
      <c r="G61" s="41" t="n"/>
      <c r="H61" s="34" t="n"/>
      <c r="I61" s="36" t="n"/>
      <c r="J61" s="37" t="n"/>
    </row>
    <row r="62" ht="15" customHeight="1" s="62">
      <c r="A62" s="54" t="n"/>
      <c r="B62" s="33" t="n"/>
      <c r="C62" s="34" t="n"/>
      <c r="D62" s="34" t="n"/>
      <c r="E62" s="35" t="n"/>
      <c r="F62" s="35" t="n"/>
      <c r="G62" s="41" t="n"/>
      <c r="H62" s="34" t="n"/>
      <c r="I62" s="36" t="n"/>
      <c r="J62" s="37" t="n"/>
    </row>
    <row r="63" ht="15" customHeight="1" s="62">
      <c r="A63" s="54" t="n"/>
      <c r="B63" s="33" t="n"/>
      <c r="C63" s="34" t="n"/>
      <c r="D63" s="34" t="n"/>
      <c r="E63" s="35" t="n"/>
      <c r="F63" s="35" t="n"/>
      <c r="G63" s="41" t="n"/>
      <c r="H63" s="34" t="n"/>
      <c r="I63" s="36" t="n"/>
      <c r="J63" s="37" t="n"/>
    </row>
    <row r="64" ht="15" customHeight="1" s="62">
      <c r="A64" s="54" t="n"/>
      <c r="B64" s="33" t="n"/>
      <c r="C64" s="34" t="n"/>
      <c r="D64" s="34" t="n"/>
      <c r="E64" s="35" t="n"/>
      <c r="F64" s="35" t="n"/>
      <c r="G64" s="41" t="n"/>
      <c r="H64" s="34" t="n"/>
      <c r="I64" s="36" t="n"/>
      <c r="J64" s="37" t="n"/>
    </row>
    <row r="65" ht="15" customHeight="1" s="62">
      <c r="A65" s="54" t="n"/>
      <c r="B65" s="33" t="n"/>
      <c r="C65" s="34" t="n"/>
      <c r="D65" s="34" t="n"/>
      <c r="E65" s="35" t="n"/>
      <c r="F65" s="35" t="n"/>
      <c r="G65" s="41" t="n"/>
      <c r="H65" s="34" t="n"/>
      <c r="I65" s="36" t="n"/>
      <c r="J65" s="37" t="n"/>
    </row>
    <row r="66" ht="15" customHeight="1" s="62">
      <c r="A66" s="54" t="n"/>
      <c r="B66" s="33" t="n"/>
      <c r="C66" s="34" t="n"/>
      <c r="D66" s="34" t="n"/>
      <c r="E66" s="35" t="n"/>
      <c r="F66" s="35" t="n"/>
      <c r="G66" s="41" t="n"/>
      <c r="H66" s="34" t="n"/>
      <c r="I66" s="36" t="n"/>
      <c r="J66" s="37" t="n"/>
    </row>
    <row r="67" ht="15" customHeight="1" s="62">
      <c r="A67" s="54" t="n"/>
      <c r="B67" s="33" t="n"/>
      <c r="C67" s="34" t="n"/>
      <c r="D67" s="34" t="n"/>
      <c r="E67" s="35" t="n"/>
      <c r="F67" s="35" t="n"/>
      <c r="G67" s="41" t="n"/>
      <c r="H67" s="34" t="n"/>
      <c r="I67" s="36" t="n"/>
      <c r="J67" s="37" t="n"/>
    </row>
    <row r="68" ht="15" customHeight="1" s="62">
      <c r="A68" s="54" t="n"/>
      <c r="B68" s="33" t="n"/>
      <c r="C68" s="34" t="n"/>
      <c r="D68" s="34" t="n"/>
      <c r="E68" s="35" t="n"/>
      <c r="F68" s="35" t="n"/>
      <c r="G68" s="41" t="n"/>
      <c r="H68" s="34" t="n"/>
      <c r="I68" s="36" t="n"/>
      <c r="J68" s="37" t="n"/>
    </row>
    <row r="69" ht="15" customHeight="1" s="62">
      <c r="A69" s="54" t="n"/>
      <c r="B69" s="33" t="n"/>
      <c r="C69" s="34" t="n"/>
      <c r="D69" s="34" t="n"/>
      <c r="E69" s="35" t="n"/>
      <c r="F69" s="35" t="n"/>
      <c r="G69" s="41" t="n"/>
      <c r="H69" s="34" t="n"/>
      <c r="I69" s="36" t="n"/>
      <c r="J69" s="37" t="n"/>
    </row>
    <row r="70" ht="15" customHeight="1" s="62">
      <c r="A70" s="54" t="n"/>
      <c r="B70" s="33" t="n"/>
      <c r="C70" s="34" t="n"/>
      <c r="D70" s="34" t="n"/>
      <c r="E70" s="35" t="n"/>
      <c r="F70" s="35" t="n"/>
      <c r="G70" s="41" t="n"/>
      <c r="H70" s="34" t="n"/>
      <c r="I70" s="36" t="n"/>
      <c r="J70" s="37" t="n"/>
    </row>
    <row r="71" ht="15" customHeight="1" s="62">
      <c r="A71" s="54" t="n"/>
      <c r="B71" s="33" t="n"/>
      <c r="C71" s="34" t="n"/>
      <c r="D71" s="34" t="n"/>
      <c r="E71" s="35" t="n"/>
      <c r="F71" s="35" t="n"/>
      <c r="G71" s="41" t="n"/>
      <c r="H71" s="34" t="n"/>
      <c r="I71" s="36" t="n"/>
      <c r="J71" s="37" t="n"/>
    </row>
    <row r="72" ht="15" customHeight="1" s="62">
      <c r="A72" s="54" t="n"/>
      <c r="B72" s="33" t="n"/>
      <c r="C72" s="34" t="n"/>
      <c r="D72" s="34" t="n"/>
      <c r="E72" s="35" t="n"/>
      <c r="F72" s="35" t="n"/>
      <c r="G72" s="41" t="n"/>
      <c r="H72" s="34" t="n"/>
      <c r="I72" s="36" t="n"/>
      <c r="J72" s="37" t="n"/>
    </row>
    <row r="73" ht="15" customHeight="1" s="62">
      <c r="A73" s="54" t="n"/>
      <c r="B73" s="33" t="n"/>
      <c r="C73" s="34" t="n"/>
      <c r="D73" s="34" t="n"/>
      <c r="E73" s="35" t="n"/>
      <c r="F73" s="35" t="n"/>
      <c r="G73" s="41" t="n"/>
      <c r="H73" s="34" t="n"/>
      <c r="I73" s="36" t="n"/>
      <c r="J73" s="37" t="n"/>
    </row>
    <row r="74" ht="15" customHeight="1" s="62">
      <c r="A74" s="54" t="n"/>
      <c r="B74" s="33" t="n"/>
      <c r="C74" s="34" t="n"/>
      <c r="D74" s="34" t="n"/>
      <c r="E74" s="35" t="n"/>
      <c r="F74" s="35" t="n"/>
      <c r="G74" s="41" t="n"/>
      <c r="H74" s="34" t="n"/>
      <c r="I74" s="36" t="n"/>
      <c r="J74" s="37" t="n"/>
    </row>
    <row r="75" ht="15" customHeight="1" s="62">
      <c r="A75" s="54" t="n"/>
      <c r="B75" s="33" t="n"/>
      <c r="C75" s="34" t="n"/>
      <c r="D75" s="34" t="n"/>
      <c r="E75" s="35" t="n"/>
      <c r="F75" s="35" t="n"/>
      <c r="G75" s="41" t="n"/>
      <c r="H75" s="34" t="n"/>
      <c r="I75" s="36" t="n"/>
      <c r="J75" s="37" t="n"/>
    </row>
    <row r="76" ht="15" customHeight="1" s="62">
      <c r="A76" s="54" t="n"/>
      <c r="B76" s="33" t="n"/>
      <c r="C76" s="34" t="n"/>
      <c r="D76" s="34" t="n"/>
      <c r="E76" s="35" t="n"/>
      <c r="F76" s="35" t="n"/>
      <c r="G76" s="41" t="n"/>
      <c r="H76" s="34" t="n"/>
      <c r="I76" s="36" t="n"/>
      <c r="J76" s="37" t="n"/>
    </row>
    <row r="77" ht="15" customHeight="1" s="62">
      <c r="A77" s="54" t="n"/>
      <c r="B77" s="33" t="n"/>
      <c r="C77" s="34" t="n"/>
      <c r="D77" s="34" t="n"/>
      <c r="E77" s="35" t="n"/>
      <c r="F77" s="35" t="n"/>
      <c r="G77" s="41" t="n"/>
      <c r="H77" s="34" t="n"/>
      <c r="I77" s="36" t="n"/>
      <c r="J77" s="37" t="n"/>
    </row>
    <row r="78" ht="15" customHeight="1" s="62">
      <c r="A78" s="54" t="n"/>
      <c r="B78" s="33" t="n"/>
      <c r="C78" s="34" t="n"/>
      <c r="D78" s="34" t="n"/>
      <c r="E78" s="35" t="n"/>
      <c r="F78" s="35" t="n"/>
      <c r="G78" s="41" t="n"/>
      <c r="H78" s="34" t="n"/>
      <c r="I78" s="36" t="n"/>
      <c r="J78" s="37" t="n"/>
    </row>
    <row r="79" ht="15" customHeight="1" s="62">
      <c r="A79" s="54" t="n"/>
      <c r="B79" s="33" t="n"/>
      <c r="C79" s="34" t="n"/>
      <c r="D79" s="34" t="n"/>
      <c r="E79" s="35" t="n"/>
      <c r="F79" s="35" t="n"/>
      <c r="G79" s="41" t="n"/>
      <c r="H79" s="34" t="n"/>
      <c r="I79" s="36" t="n"/>
      <c r="J79" s="37" t="n"/>
    </row>
    <row r="80" ht="15" customHeight="1" s="62">
      <c r="A80" s="54" t="n"/>
      <c r="B80" s="33" t="n"/>
      <c r="C80" s="34" t="n"/>
      <c r="D80" s="34" t="n"/>
      <c r="E80" s="35" t="n"/>
      <c r="F80" s="35" t="n"/>
      <c r="G80" s="41" t="n"/>
      <c r="H80" s="34" t="n"/>
      <c r="I80" s="36" t="n"/>
      <c r="J80" s="37" t="n"/>
    </row>
    <row r="81" ht="15" customHeight="1" s="62">
      <c r="A81" s="54" t="n"/>
      <c r="B81" s="33" t="n"/>
      <c r="C81" s="34" t="n"/>
      <c r="D81" s="34" t="n"/>
      <c r="E81" s="35" t="n"/>
      <c r="F81" s="35" t="n"/>
      <c r="G81" s="41" t="n"/>
      <c r="H81" s="34" t="n"/>
      <c r="I81" s="36" t="n"/>
      <c r="J81" s="37" t="n"/>
    </row>
    <row r="82" ht="15" customHeight="1" s="62">
      <c r="A82" s="54" t="n"/>
      <c r="B82" s="33" t="n"/>
      <c r="C82" s="34" t="n"/>
      <c r="D82" s="34" t="n"/>
      <c r="E82" s="35" t="n"/>
      <c r="F82" s="35" t="n"/>
      <c r="G82" s="41" t="n"/>
      <c r="H82" s="34" t="n"/>
      <c r="I82" s="36" t="n"/>
      <c r="J82" s="37" t="n"/>
    </row>
    <row r="83" ht="15" customHeight="1" s="62">
      <c r="A83" s="54" t="n"/>
      <c r="B83" s="33" t="n"/>
      <c r="C83" s="34" t="n"/>
      <c r="D83" s="34" t="n"/>
      <c r="E83" s="35" t="n"/>
      <c r="F83" s="35" t="n"/>
      <c r="G83" s="41" t="n"/>
      <c r="H83" s="34" t="n"/>
      <c r="I83" s="36" t="n"/>
      <c r="J83" s="37" t="n"/>
    </row>
    <row r="84" ht="15" customHeight="1" s="62">
      <c r="A84" s="54" t="n"/>
      <c r="B84" s="33" t="n"/>
      <c r="C84" s="34" t="n"/>
      <c r="D84" s="34" t="n"/>
      <c r="E84" s="35" t="n"/>
      <c r="F84" s="35" t="n"/>
      <c r="G84" s="41" t="n"/>
      <c r="H84" s="34" t="n"/>
      <c r="I84" s="36" t="n"/>
      <c r="J84" s="37" t="n"/>
    </row>
    <row r="85" ht="15" customHeight="1" s="62">
      <c r="A85" s="54" t="n"/>
      <c r="B85" s="33" t="n"/>
      <c r="C85" s="34" t="n"/>
      <c r="D85" s="34" t="n"/>
      <c r="E85" s="35" t="n"/>
      <c r="F85" s="35" t="n"/>
      <c r="G85" s="41" t="n"/>
      <c r="H85" s="34" t="n"/>
      <c r="I85" s="36" t="n"/>
      <c r="J85" s="37" t="n"/>
    </row>
    <row r="86" ht="15" customHeight="1" s="62">
      <c r="A86" s="54" t="n"/>
      <c r="B86" s="33" t="n"/>
      <c r="C86" s="34" t="n"/>
      <c r="D86" s="34" t="n"/>
      <c r="E86" s="35" t="n"/>
      <c r="F86" s="35" t="n"/>
      <c r="G86" s="41" t="n"/>
      <c r="H86" s="34" t="n"/>
      <c r="I86" s="36" t="n"/>
      <c r="J86" s="37" t="n"/>
    </row>
    <row r="87" ht="15" customHeight="1" s="62">
      <c r="A87" s="54" t="n"/>
      <c r="B87" s="33" t="n"/>
      <c r="C87" s="34" t="n"/>
      <c r="D87" s="34" t="n"/>
      <c r="E87" s="35" t="n"/>
      <c r="F87" s="35" t="n"/>
      <c r="G87" s="41" t="n"/>
      <c r="H87" s="34" t="n"/>
      <c r="I87" s="36" t="n"/>
      <c r="J87" s="37" t="n"/>
    </row>
    <row r="88" ht="15" customHeight="1" s="62">
      <c r="A88" s="54" t="n"/>
      <c r="B88" s="33" t="n"/>
      <c r="C88" s="34" t="n"/>
      <c r="D88" s="34" t="n"/>
      <c r="E88" s="35" t="n"/>
      <c r="F88" s="35" t="n"/>
      <c r="G88" s="41" t="n"/>
      <c r="H88" s="34" t="n"/>
      <c r="I88" s="36" t="n"/>
      <c r="J88" s="37" t="n"/>
    </row>
    <row r="89" ht="15" customHeight="1" s="62">
      <c r="A89" s="54" t="n"/>
      <c r="B89" s="33" t="n"/>
      <c r="C89" s="34" t="n"/>
      <c r="D89" s="34" t="n"/>
      <c r="E89" s="35" t="n"/>
      <c r="F89" s="35" t="n"/>
      <c r="G89" s="41" t="n"/>
      <c r="H89" s="34" t="n"/>
      <c r="I89" s="36" t="n"/>
      <c r="J89" s="37" t="n"/>
    </row>
    <row r="90" ht="15" customHeight="1" s="62">
      <c r="A90" s="54" t="n"/>
      <c r="B90" s="33" t="n"/>
      <c r="C90" s="34" t="n"/>
      <c r="D90" s="34" t="n"/>
      <c r="E90" s="35" t="n"/>
      <c r="F90" s="35" t="n"/>
      <c r="G90" s="41" t="n"/>
      <c r="H90" s="34" t="n"/>
      <c r="I90" s="36" t="n"/>
      <c r="J90" s="37" t="n"/>
    </row>
    <row r="91" ht="15" customHeight="1" s="62">
      <c r="A91" s="54" t="n"/>
      <c r="B91" s="33" t="n"/>
      <c r="C91" s="34" t="n"/>
      <c r="D91" s="34" t="n"/>
      <c r="E91" s="35" t="n"/>
      <c r="F91" s="35" t="n"/>
      <c r="G91" s="41" t="n"/>
      <c r="H91" s="34" t="n"/>
      <c r="I91" s="36" t="n"/>
      <c r="J91" s="37" t="n"/>
    </row>
    <row r="92" ht="15" customHeight="1" s="62">
      <c r="A92" s="54" t="n"/>
      <c r="B92" s="33" t="n"/>
      <c r="C92" s="34" t="n"/>
      <c r="D92" s="34" t="n"/>
      <c r="E92" s="35" t="n"/>
      <c r="F92" s="35" t="n"/>
      <c r="G92" s="41" t="n"/>
      <c r="H92" s="34" t="n"/>
      <c r="I92" s="36" t="n"/>
      <c r="J92" s="37" t="n"/>
    </row>
    <row r="93" ht="15" customHeight="1" s="62">
      <c r="A93" s="54" t="n"/>
      <c r="B93" s="33" t="n"/>
      <c r="C93" s="34" t="n"/>
      <c r="D93" s="34" t="n"/>
      <c r="E93" s="35" t="n"/>
      <c r="F93" s="35" t="n"/>
      <c r="G93" s="41" t="n"/>
      <c r="H93" s="34" t="n"/>
      <c r="I93" s="36" t="n"/>
      <c r="J93" s="37" t="n"/>
    </row>
    <row r="94" ht="15" customHeight="1" s="62">
      <c r="A94" s="54" t="n"/>
      <c r="B94" s="33" t="n"/>
      <c r="C94" s="34" t="n"/>
      <c r="D94" s="34" t="n"/>
      <c r="E94" s="35" t="n"/>
      <c r="F94" s="35" t="n"/>
      <c r="G94" s="41" t="n"/>
      <c r="H94" s="34" t="n"/>
      <c r="I94" s="36" t="n"/>
      <c r="J94" s="37" t="n"/>
    </row>
    <row r="95" ht="15" customHeight="1" s="62">
      <c r="A95" s="54" t="n"/>
      <c r="B95" s="33" t="n"/>
      <c r="C95" s="34" t="n"/>
      <c r="D95" s="34" t="n"/>
      <c r="E95" s="35" t="n"/>
      <c r="F95" s="35" t="n"/>
      <c r="G95" s="41" t="n"/>
      <c r="H95" s="34" t="n"/>
      <c r="I95" s="36" t="n"/>
      <c r="J95" s="37" t="n"/>
    </row>
    <row r="96" ht="15" customHeight="1" s="62">
      <c r="A96" s="54" t="n"/>
      <c r="B96" s="33" t="n"/>
      <c r="C96" s="34" t="n"/>
      <c r="D96" s="34" t="n"/>
      <c r="E96" s="35" t="n"/>
      <c r="F96" s="35" t="n"/>
      <c r="G96" s="41" t="n"/>
      <c r="H96" s="34" t="n"/>
      <c r="I96" s="36" t="n"/>
      <c r="J96" s="37" t="n"/>
    </row>
    <row r="97" ht="15" customHeight="1" s="62">
      <c r="A97" s="54" t="n"/>
      <c r="B97" s="33" t="n"/>
      <c r="C97" s="34" t="n"/>
      <c r="D97" s="34" t="n"/>
      <c r="E97" s="35" t="n"/>
      <c r="F97" s="35" t="n"/>
      <c r="G97" s="41" t="n"/>
      <c r="H97" s="34" t="n"/>
      <c r="I97" s="36" t="n"/>
      <c r="J97" s="37" t="n"/>
    </row>
    <row r="98" ht="15" customHeight="1" s="62">
      <c r="A98" s="54" t="n"/>
      <c r="B98" s="33" t="n"/>
      <c r="C98" s="34" t="n"/>
      <c r="D98" s="34" t="n"/>
      <c r="E98" s="35" t="n"/>
      <c r="F98" s="35" t="n"/>
      <c r="G98" s="41" t="n"/>
      <c r="H98" s="34" t="n"/>
      <c r="I98" s="36" t="n"/>
      <c r="J98" s="37" t="n"/>
    </row>
    <row r="99" ht="15" customHeight="1" s="62">
      <c r="A99" s="54" t="n"/>
      <c r="B99" s="33" t="n"/>
      <c r="C99" s="34" t="n"/>
      <c r="D99" s="34" t="n"/>
      <c r="E99" s="35" t="n"/>
      <c r="F99" s="35" t="n"/>
      <c r="G99" s="41" t="n"/>
      <c r="H99" s="34" t="n"/>
      <c r="I99" s="36" t="n"/>
      <c r="J99" s="37" t="n"/>
    </row>
    <row r="100" ht="15" customHeight="1" s="62">
      <c r="A100" s="54" t="n"/>
      <c r="B100" s="33" t="n"/>
      <c r="C100" s="34" t="n"/>
      <c r="D100" s="34" t="n"/>
      <c r="E100" s="35" t="n"/>
      <c r="F100" s="35" t="n"/>
      <c r="G100" s="41" t="n"/>
      <c r="H100" s="34" t="n"/>
      <c r="I100" s="36" t="n"/>
      <c r="J100" s="37" t="n"/>
    </row>
    <row r="101" ht="15" customHeight="1" s="62">
      <c r="A101" s="54" t="n"/>
      <c r="B101" s="33" t="n"/>
      <c r="C101" s="34" t="n"/>
      <c r="D101" s="34" t="n"/>
      <c r="E101" s="35" t="n"/>
      <c r="F101" s="35" t="n"/>
      <c r="G101" s="41" t="n"/>
      <c r="H101" s="34" t="n"/>
      <c r="I101" s="36" t="n"/>
      <c r="J101" s="37" t="n"/>
    </row>
    <row r="102" ht="15" customHeight="1" s="62">
      <c r="A102" s="54" t="n"/>
      <c r="B102" s="33" t="n"/>
      <c r="C102" s="34" t="n"/>
      <c r="D102" s="34" t="n"/>
      <c r="E102" s="35" t="n"/>
      <c r="F102" s="35" t="n"/>
      <c r="G102" s="41" t="n"/>
      <c r="H102" s="34" t="n"/>
      <c r="I102" s="36" t="n"/>
      <c r="J102" s="37" t="n"/>
    </row>
    <row r="103" ht="15" customHeight="1" s="62">
      <c r="A103" s="54" t="n"/>
      <c r="B103" s="33" t="n"/>
      <c r="C103" s="34" t="n"/>
      <c r="D103" s="34" t="n"/>
      <c r="E103" s="35" t="n"/>
      <c r="F103" s="35" t="n"/>
      <c r="G103" s="41" t="n"/>
      <c r="H103" s="34" t="n"/>
      <c r="I103" s="36" t="n"/>
      <c r="J103" s="37" t="n"/>
    </row>
    <row r="104" ht="15" customHeight="1" s="62">
      <c r="A104" s="54" t="n"/>
      <c r="B104" s="33" t="n"/>
      <c r="C104" s="34" t="n"/>
      <c r="D104" s="34" t="n"/>
      <c r="E104" s="35" t="n"/>
      <c r="F104" s="35" t="n"/>
      <c r="G104" s="41" t="n"/>
      <c r="H104" s="34" t="n"/>
      <c r="I104" s="36" t="n"/>
      <c r="J104" s="37" t="n"/>
    </row>
    <row r="105" ht="15" customHeight="1" s="62">
      <c r="A105" s="54" t="n"/>
      <c r="B105" s="33" t="n"/>
      <c r="C105" s="34" t="n"/>
      <c r="D105" s="34" t="n"/>
      <c r="E105" s="35" t="n"/>
      <c r="F105" s="35" t="n"/>
      <c r="G105" s="41" t="n"/>
      <c r="H105" s="34" t="n"/>
      <c r="I105" s="36" t="n"/>
      <c r="J105" s="37" t="n"/>
    </row>
    <row r="106" ht="15" customHeight="1" s="62">
      <c r="A106" s="54" t="n"/>
      <c r="B106" s="33" t="n"/>
      <c r="C106" s="34" t="n"/>
      <c r="D106" s="34" t="n"/>
      <c r="E106" s="35" t="n"/>
      <c r="F106" s="35" t="n"/>
      <c r="G106" s="41" t="n"/>
      <c r="H106" s="34" t="n"/>
      <c r="I106" s="36" t="n"/>
      <c r="J106" s="37" t="n"/>
    </row>
    <row r="107" ht="15" customHeight="1" s="62">
      <c r="A107" s="54" t="n"/>
      <c r="B107" s="33" t="n"/>
      <c r="C107" s="34" t="n"/>
      <c r="D107" s="34" t="n"/>
      <c r="E107" s="35" t="n"/>
      <c r="F107" s="35" t="n"/>
      <c r="G107" s="41" t="n"/>
      <c r="H107" s="34" t="n"/>
      <c r="I107" s="36" t="n"/>
      <c r="J107" s="37" t="n"/>
    </row>
    <row r="108" ht="15" customHeight="1" s="62">
      <c r="A108" s="54" t="n"/>
      <c r="B108" s="33" t="n"/>
      <c r="C108" s="34" t="n"/>
      <c r="D108" s="34" t="n"/>
      <c r="E108" s="35" t="n"/>
      <c r="F108" s="35" t="n"/>
      <c r="G108" s="41" t="n"/>
      <c r="H108" s="34" t="n"/>
      <c r="I108" s="36" t="n"/>
      <c r="J108" s="37" t="n"/>
    </row>
    <row r="109" ht="15" customHeight="1" s="62">
      <c r="A109" s="54" t="n"/>
      <c r="B109" s="33" t="n"/>
      <c r="C109" s="34" t="n"/>
      <c r="D109" s="34" t="n"/>
      <c r="E109" s="35" t="n"/>
      <c r="F109" s="35" t="n"/>
      <c r="G109" s="41" t="n"/>
      <c r="H109" s="34" t="n"/>
      <c r="I109" s="36" t="n"/>
      <c r="J109" s="37" t="n"/>
    </row>
    <row r="110" ht="15" customHeight="1" s="62">
      <c r="A110" s="54" t="n"/>
      <c r="B110" s="33" t="n"/>
      <c r="C110" s="34" t="n"/>
      <c r="D110" s="34" t="n"/>
      <c r="E110" s="35" t="n"/>
      <c r="F110" s="35" t="n"/>
      <c r="G110" s="41" t="n"/>
      <c r="H110" s="34" t="n"/>
      <c r="I110" s="36" t="n"/>
      <c r="J110" s="37" t="n"/>
    </row>
    <row r="111" ht="15" customHeight="1" s="62">
      <c r="A111" s="54" t="n"/>
      <c r="B111" s="33" t="n"/>
      <c r="C111" s="34" t="n"/>
      <c r="D111" s="34" t="n"/>
      <c r="E111" s="35" t="n"/>
      <c r="F111" s="35" t="n"/>
      <c r="G111" s="41" t="n"/>
      <c r="H111" s="34" t="n"/>
      <c r="I111" s="36" t="n"/>
      <c r="J111" s="37" t="n"/>
    </row>
    <row r="112" ht="15" customHeight="1" s="62">
      <c r="A112" s="54" t="n"/>
      <c r="B112" s="33" t="n"/>
      <c r="C112" s="34" t="n"/>
      <c r="D112" s="34" t="n"/>
      <c r="E112" s="35" t="n"/>
      <c r="F112" s="35" t="n"/>
      <c r="G112" s="41" t="n"/>
      <c r="H112" s="34" t="n"/>
      <c r="I112" s="36" t="n"/>
      <c r="J112" s="37" t="n"/>
    </row>
    <row r="113" ht="15" customHeight="1" s="62">
      <c r="A113" s="54" t="n"/>
      <c r="B113" s="33" t="n"/>
      <c r="C113" s="34" t="n"/>
      <c r="D113" s="34" t="n"/>
      <c r="E113" s="35" t="n"/>
      <c r="F113" s="35" t="n"/>
      <c r="G113" s="41" t="n"/>
      <c r="H113" s="34" t="n"/>
      <c r="I113" s="36" t="n"/>
      <c r="J113" s="37" t="n"/>
    </row>
    <row r="114" ht="15" customHeight="1" s="62">
      <c r="A114" s="54" t="n"/>
      <c r="B114" s="33" t="n"/>
      <c r="C114" s="34" t="n"/>
      <c r="D114" s="34" t="n"/>
      <c r="E114" s="35" t="n"/>
      <c r="F114" s="35" t="n"/>
      <c r="G114" s="41" t="n"/>
      <c r="H114" s="34" t="n"/>
      <c r="I114" s="36" t="n"/>
      <c r="J114" s="37" t="n"/>
    </row>
    <row r="115" ht="15" customHeight="1" s="62">
      <c r="A115" s="54" t="n"/>
      <c r="B115" s="33" t="n"/>
      <c r="C115" s="34" t="n"/>
      <c r="D115" s="34" t="n"/>
      <c r="E115" s="35" t="n"/>
      <c r="F115" s="35" t="n"/>
      <c r="G115" s="41" t="n"/>
      <c r="H115" s="34" t="n"/>
      <c r="I115" s="36" t="n"/>
      <c r="J115" s="37" t="n"/>
    </row>
    <row r="116" ht="15" customHeight="1" s="62">
      <c r="A116" s="54" t="n"/>
      <c r="B116" s="33" t="n"/>
      <c r="C116" s="34" t="n"/>
      <c r="D116" s="34" t="n"/>
      <c r="E116" s="35" t="n"/>
      <c r="F116" s="35" t="n"/>
      <c r="G116" s="41" t="n"/>
      <c r="H116" s="34" t="n"/>
      <c r="I116" s="36" t="n"/>
      <c r="J116" s="37" t="n"/>
    </row>
    <row r="117" ht="15" customHeight="1" s="62">
      <c r="A117" s="54" t="n"/>
      <c r="B117" s="33" t="n"/>
      <c r="C117" s="34" t="n"/>
      <c r="D117" s="34" t="n"/>
      <c r="E117" s="35" t="n"/>
      <c r="F117" s="35" t="n"/>
      <c r="G117" s="41" t="n"/>
      <c r="H117" s="34" t="n"/>
      <c r="I117" s="36" t="n"/>
      <c r="J117" s="37" t="n"/>
    </row>
    <row r="118" ht="15" customHeight="1" s="62">
      <c r="A118" s="54" t="n"/>
      <c r="B118" s="33" t="n"/>
      <c r="C118" s="34" t="n"/>
      <c r="D118" s="34" t="n"/>
      <c r="E118" s="35" t="n"/>
      <c r="F118" s="35" t="n"/>
      <c r="G118" s="41" t="n"/>
      <c r="H118" s="34" t="n"/>
      <c r="I118" s="36" t="n"/>
      <c r="J118" s="37" t="n"/>
    </row>
    <row r="119" ht="15" customHeight="1" s="62">
      <c r="A119" s="54" t="n"/>
      <c r="B119" s="33" t="n"/>
      <c r="C119" s="34" t="n"/>
      <c r="D119" s="34" t="n"/>
      <c r="E119" s="35" t="n"/>
      <c r="F119" s="35" t="n"/>
      <c r="G119" s="41" t="n"/>
      <c r="H119" s="34" t="n"/>
      <c r="I119" s="36" t="n"/>
      <c r="J119" s="37" t="n"/>
    </row>
    <row r="120" ht="15" customHeight="1" s="62">
      <c r="A120" s="54" t="n"/>
      <c r="B120" s="33" t="n"/>
      <c r="C120" s="34" t="n"/>
      <c r="D120" s="34" t="n"/>
      <c r="E120" s="35" t="n"/>
      <c r="F120" s="35" t="n"/>
      <c r="G120" s="41" t="n"/>
      <c r="H120" s="34" t="n"/>
      <c r="I120" s="36" t="n"/>
      <c r="J120" s="37" t="n"/>
    </row>
    <row r="121" ht="15" customHeight="1" s="62">
      <c r="A121" s="54" t="n"/>
      <c r="B121" s="33" t="n"/>
      <c r="C121" s="34" t="n"/>
      <c r="D121" s="34" t="n"/>
      <c r="E121" s="35" t="n"/>
      <c r="F121" s="35" t="n"/>
      <c r="G121" s="41" t="n"/>
      <c r="H121" s="34" t="n"/>
      <c r="I121" s="36" t="n"/>
      <c r="J121" s="37" t="n"/>
    </row>
    <row r="122" ht="15" customHeight="1" s="62">
      <c r="A122" s="54" t="n"/>
      <c r="B122" s="33" t="n"/>
      <c r="C122" s="34" t="n"/>
      <c r="D122" s="34" t="n"/>
      <c r="E122" s="35" t="n"/>
      <c r="F122" s="35" t="n"/>
      <c r="G122" s="41" t="n"/>
      <c r="H122" s="34" t="n"/>
      <c r="I122" s="36" t="n"/>
      <c r="J122" s="37" t="n"/>
    </row>
    <row r="123" ht="15" customHeight="1" s="62">
      <c r="A123" s="54" t="n"/>
      <c r="B123" s="33" t="n"/>
      <c r="C123" s="34" t="n"/>
      <c r="D123" s="34" t="n"/>
      <c r="E123" s="35" t="n"/>
      <c r="F123" s="35" t="n"/>
      <c r="G123" s="41" t="n"/>
      <c r="H123" s="34" t="n"/>
      <c r="I123" s="36" t="n"/>
      <c r="J123" s="37" t="n"/>
    </row>
    <row r="124" ht="15" customHeight="1" s="62">
      <c r="A124" s="54" t="n"/>
      <c r="B124" s="33" t="n"/>
      <c r="C124" s="34" t="n"/>
      <c r="D124" s="34" t="n"/>
      <c r="E124" s="35" t="n"/>
      <c r="F124" s="35" t="n"/>
      <c r="G124" s="41" t="n"/>
      <c r="H124" s="34" t="n"/>
      <c r="I124" s="36" t="n"/>
      <c r="J124" s="37" t="n"/>
    </row>
    <row r="125" ht="15" customHeight="1" s="62">
      <c r="A125" s="54" t="n"/>
      <c r="B125" s="33" t="n"/>
      <c r="C125" s="34" t="n"/>
      <c r="D125" s="34" t="n"/>
      <c r="E125" s="35" t="n"/>
      <c r="F125" s="35" t="n"/>
      <c r="G125" s="41" t="n"/>
      <c r="H125" s="34" t="n"/>
      <c r="I125" s="36" t="n"/>
      <c r="J125" s="37" t="n"/>
    </row>
    <row r="126" ht="15" customHeight="1" s="62">
      <c r="A126" s="54" t="n"/>
      <c r="B126" s="33" t="n"/>
      <c r="C126" s="34" t="n"/>
      <c r="D126" s="34" t="n"/>
      <c r="E126" s="35" t="n"/>
      <c r="F126" s="35" t="n"/>
      <c r="G126" s="41" t="n"/>
      <c r="H126" s="34" t="n"/>
      <c r="I126" s="36" t="n"/>
      <c r="J126" s="37" t="n"/>
    </row>
    <row r="127" ht="15" customHeight="1" s="62">
      <c r="A127" s="54" t="n"/>
      <c r="B127" s="33" t="n"/>
      <c r="C127" s="34" t="n"/>
      <c r="D127" s="34" t="n"/>
      <c r="E127" s="35" t="n"/>
      <c r="F127" s="35" t="n"/>
      <c r="G127" s="41" t="n"/>
      <c r="H127" s="34" t="n"/>
      <c r="I127" s="36" t="n"/>
      <c r="J127" s="37" t="n"/>
    </row>
    <row r="128" ht="15" customHeight="1" s="62">
      <c r="A128" s="54" t="n"/>
      <c r="B128" s="33" t="n"/>
      <c r="C128" s="34" t="n"/>
      <c r="D128" s="34" t="n"/>
      <c r="E128" s="35" t="n"/>
      <c r="F128" s="35" t="n"/>
      <c r="G128" s="41" t="n"/>
      <c r="H128" s="34" t="n"/>
      <c r="I128" s="36" t="n"/>
      <c r="J128" s="37" t="n"/>
    </row>
    <row r="129" ht="15" customHeight="1" s="62">
      <c r="A129" s="54" t="n"/>
      <c r="B129" s="33" t="n"/>
      <c r="C129" s="34" t="n"/>
      <c r="D129" s="34" t="n"/>
      <c r="E129" s="35" t="n"/>
      <c r="F129" s="35" t="n"/>
      <c r="G129" s="41" t="n"/>
      <c r="H129" s="34" t="n"/>
      <c r="I129" s="36" t="n"/>
      <c r="J129" s="37" t="n"/>
    </row>
    <row r="130" ht="15" customHeight="1" s="62">
      <c r="A130" s="54" t="n"/>
      <c r="B130" s="33" t="n"/>
      <c r="C130" s="34" t="n"/>
      <c r="D130" s="34" t="n"/>
      <c r="E130" s="35" t="n"/>
      <c r="F130" s="35" t="n"/>
      <c r="G130" s="41" t="n"/>
      <c r="H130" s="34" t="n"/>
      <c r="I130" s="36" t="n"/>
      <c r="J130" s="37" t="n"/>
    </row>
    <row r="131" ht="15" customHeight="1" s="62">
      <c r="A131" s="54" t="n"/>
      <c r="B131" s="33" t="n"/>
      <c r="C131" s="34" t="n"/>
      <c r="D131" s="34" t="n"/>
      <c r="E131" s="35" t="n"/>
      <c r="F131" s="35" t="n"/>
      <c r="G131" s="41" t="n"/>
      <c r="H131" s="34" t="n"/>
      <c r="I131" s="36" t="n"/>
      <c r="J131" s="37" t="n"/>
    </row>
    <row r="132" ht="15" customHeight="1" s="62">
      <c r="A132" s="54" t="n"/>
      <c r="B132" s="33" t="n"/>
      <c r="C132" s="34" t="n"/>
      <c r="D132" s="34" t="n"/>
      <c r="E132" s="35" t="n"/>
      <c r="F132" s="35" t="n"/>
      <c r="G132" s="41" t="n"/>
      <c r="H132" s="34" t="n"/>
      <c r="I132" s="36" t="n"/>
      <c r="J132" s="37" t="n"/>
    </row>
    <row r="133" ht="15" customHeight="1" s="62">
      <c r="A133" s="54" t="n"/>
      <c r="B133" s="33" t="n"/>
      <c r="C133" s="34" t="n"/>
      <c r="D133" s="34" t="n"/>
      <c r="E133" s="35" t="n"/>
      <c r="F133" s="35" t="n"/>
      <c r="G133" s="41" t="n"/>
      <c r="H133" s="34" t="n"/>
      <c r="I133" s="36" t="n"/>
      <c r="J133" s="37" t="n"/>
    </row>
    <row r="134" ht="15" customHeight="1" s="62">
      <c r="A134" s="54" t="n"/>
      <c r="B134" s="33" t="n"/>
      <c r="C134" s="34" t="n"/>
      <c r="D134" s="34" t="n"/>
      <c r="E134" s="35" t="n"/>
      <c r="F134" s="35" t="n"/>
      <c r="G134" s="41" t="n"/>
      <c r="H134" s="34" t="n"/>
      <c r="I134" s="36" t="n"/>
      <c r="J134" s="37" t="n"/>
    </row>
    <row r="135" ht="15" customHeight="1" s="62">
      <c r="A135" s="54" t="n"/>
      <c r="B135" s="33" t="n"/>
      <c r="C135" s="34" t="n"/>
      <c r="D135" s="34" t="n"/>
      <c r="E135" s="35" t="n"/>
      <c r="F135" s="35" t="n"/>
      <c r="G135" s="41" t="n"/>
      <c r="H135" s="34" t="n"/>
      <c r="I135" s="36" t="n"/>
      <c r="J135" s="37" t="n"/>
    </row>
    <row r="136" ht="15" customHeight="1" s="62">
      <c r="A136" s="54" t="n"/>
      <c r="B136" s="33" t="n"/>
      <c r="C136" s="34" t="n"/>
      <c r="D136" s="34" t="n"/>
      <c r="E136" s="35" t="n"/>
      <c r="F136" s="35" t="n"/>
      <c r="G136" s="41" t="n"/>
      <c r="H136" s="34" t="n"/>
      <c r="I136" s="36" t="n"/>
      <c r="J136" s="37" t="n"/>
    </row>
    <row r="137" ht="15" customHeight="1" s="62">
      <c r="A137" s="54" t="n"/>
      <c r="B137" s="33" t="n"/>
      <c r="C137" s="34" t="n"/>
      <c r="D137" s="34" t="n"/>
      <c r="E137" s="35" t="n"/>
      <c r="F137" s="35" t="n"/>
      <c r="G137" s="41" t="n"/>
      <c r="H137" s="34" t="n"/>
      <c r="I137" s="36" t="n"/>
      <c r="J137" s="37" t="n"/>
    </row>
    <row r="138" ht="15" customHeight="1" s="62">
      <c r="A138" s="54" t="n"/>
      <c r="B138" s="33" t="n"/>
      <c r="C138" s="34" t="n"/>
      <c r="D138" s="34" t="n"/>
      <c r="E138" s="35" t="n"/>
      <c r="F138" s="35" t="n"/>
      <c r="G138" s="41" t="n"/>
      <c r="H138" s="34" t="n"/>
      <c r="I138" s="36" t="n"/>
      <c r="J138" s="37" t="n"/>
    </row>
    <row r="139" ht="15" customHeight="1" s="62">
      <c r="A139" s="54" t="n"/>
      <c r="B139" s="33" t="n"/>
      <c r="C139" s="34" t="n"/>
      <c r="D139" s="34" t="n"/>
      <c r="E139" s="35" t="n"/>
      <c r="F139" s="35" t="n"/>
      <c r="G139" s="41" t="n"/>
      <c r="H139" s="34" t="n"/>
      <c r="I139" s="36" t="n"/>
      <c r="J139" s="37" t="n"/>
    </row>
    <row r="140" ht="15" customHeight="1" s="62">
      <c r="A140" s="54" t="n"/>
      <c r="B140" s="33" t="n"/>
      <c r="C140" s="34" t="n"/>
      <c r="D140" s="34" t="n"/>
      <c r="E140" s="35" t="n"/>
      <c r="F140" s="35" t="n"/>
      <c r="G140" s="41" t="n"/>
      <c r="H140" s="34" t="n"/>
      <c r="I140" s="36" t="n"/>
      <c r="J140" s="37" t="n"/>
    </row>
    <row r="141" ht="15" customHeight="1" s="62">
      <c r="A141" s="54" t="n"/>
      <c r="B141" s="33" t="n"/>
      <c r="C141" s="34" t="n"/>
      <c r="D141" s="34" t="n"/>
      <c r="E141" s="35" t="n"/>
      <c r="F141" s="35" t="n"/>
      <c r="G141" s="41" t="n"/>
      <c r="H141" s="34" t="n"/>
      <c r="I141" s="36" t="n"/>
      <c r="J141" s="37" t="n"/>
    </row>
    <row r="142" ht="15" customHeight="1" s="62">
      <c r="A142" s="54" t="n"/>
      <c r="B142" s="33" t="n"/>
      <c r="C142" s="34" t="n"/>
      <c r="D142" s="34" t="n"/>
      <c r="E142" s="35" t="n"/>
      <c r="F142" s="35" t="n"/>
      <c r="G142" s="41" t="n"/>
      <c r="H142" s="34" t="n"/>
      <c r="I142" s="36" t="n"/>
      <c r="J142" s="37" t="n"/>
    </row>
    <row r="143" ht="15" customHeight="1" s="62">
      <c r="A143" s="54" t="n"/>
      <c r="B143" s="33" t="n"/>
      <c r="C143" s="34" t="n"/>
      <c r="D143" s="34" t="n"/>
      <c r="E143" s="35" t="n"/>
      <c r="F143" s="35" t="n"/>
      <c r="G143" s="41" t="n"/>
      <c r="H143" s="34" t="n"/>
      <c r="I143" s="36" t="n"/>
      <c r="J143" s="37" t="n"/>
    </row>
    <row r="144" ht="15" customHeight="1" s="62">
      <c r="A144" s="54" t="n"/>
      <c r="B144" s="33" t="n"/>
      <c r="C144" s="34" t="n"/>
      <c r="D144" s="34" t="n"/>
      <c r="E144" s="35" t="n"/>
      <c r="F144" s="35" t="n"/>
      <c r="G144" s="41" t="n"/>
      <c r="H144" s="34" t="n"/>
      <c r="I144" s="36" t="n"/>
      <c r="J144" s="37" t="n"/>
    </row>
    <row r="145" ht="15" customHeight="1" s="62">
      <c r="A145" s="54" t="n"/>
      <c r="B145" s="33" t="n"/>
      <c r="C145" s="34" t="n"/>
      <c r="D145" s="34" t="n"/>
      <c r="E145" s="35" t="n"/>
      <c r="F145" s="35" t="n"/>
      <c r="G145" s="41" t="n"/>
      <c r="H145" s="34" t="n"/>
      <c r="I145" s="36" t="n"/>
      <c r="J145" s="37" t="n"/>
    </row>
    <row r="146" ht="15" customHeight="1" s="62">
      <c r="A146" s="54" t="n"/>
      <c r="B146" s="33" t="n"/>
      <c r="C146" s="34" t="n"/>
      <c r="D146" s="34" t="n"/>
      <c r="E146" s="35" t="n"/>
      <c r="F146" s="35" t="n"/>
      <c r="G146" s="41" t="n"/>
      <c r="H146" s="34" t="n"/>
      <c r="I146" s="36" t="n"/>
      <c r="J146" s="37" t="n"/>
    </row>
    <row r="147" ht="15" customHeight="1" s="62">
      <c r="A147" s="54" t="n"/>
      <c r="B147" s="33" t="n"/>
      <c r="C147" s="34" t="n"/>
      <c r="D147" s="34" t="n"/>
      <c r="E147" s="35" t="n"/>
      <c r="F147" s="35" t="n"/>
      <c r="G147" s="41" t="n"/>
      <c r="H147" s="34" t="n"/>
      <c r="I147" s="36" t="n"/>
      <c r="J147" s="37" t="n"/>
    </row>
    <row r="148" ht="15" customHeight="1" s="62">
      <c r="A148" s="54" t="n"/>
      <c r="B148" s="33" t="n"/>
      <c r="C148" s="34" t="n"/>
      <c r="D148" s="34" t="n"/>
      <c r="E148" s="35" t="n"/>
      <c r="F148" s="35" t="n"/>
      <c r="G148" s="41" t="n"/>
      <c r="H148" s="34" t="n"/>
      <c r="I148" s="36" t="n"/>
      <c r="J148" s="37" t="n"/>
    </row>
    <row r="149" ht="15" customHeight="1" s="62">
      <c r="A149" s="54" t="n"/>
      <c r="B149" s="33" t="n"/>
      <c r="C149" s="34" t="n"/>
      <c r="D149" s="34" t="n"/>
      <c r="E149" s="35" t="n"/>
      <c r="F149" s="35" t="n"/>
      <c r="G149" s="41" t="n"/>
      <c r="H149" s="34" t="n"/>
      <c r="I149" s="36" t="n"/>
      <c r="J149" s="37" t="n"/>
    </row>
    <row r="150" ht="15" customHeight="1" s="62">
      <c r="A150" s="54" t="n"/>
      <c r="B150" s="33" t="n"/>
      <c r="C150" s="34" t="n"/>
      <c r="D150" s="34" t="n"/>
      <c r="E150" s="35" t="n"/>
      <c r="F150" s="35" t="n"/>
      <c r="G150" s="41" t="n"/>
      <c r="H150" s="34" t="n"/>
      <c r="I150" s="36" t="n"/>
      <c r="J150" s="37" t="n"/>
    </row>
    <row r="151" ht="15" customHeight="1" s="62">
      <c r="A151" s="54" t="n"/>
      <c r="B151" s="33" t="n"/>
      <c r="C151" s="34" t="n"/>
      <c r="D151" s="34" t="n"/>
      <c r="E151" s="35" t="n"/>
      <c r="F151" s="35" t="n"/>
      <c r="G151" s="41" t="n"/>
      <c r="H151" s="34" t="n"/>
      <c r="I151" s="36" t="n"/>
      <c r="J151" s="37" t="n"/>
    </row>
    <row r="152" ht="15" customHeight="1" s="62">
      <c r="A152" s="54" t="n"/>
      <c r="B152" s="33" t="n"/>
      <c r="C152" s="34" t="n"/>
      <c r="D152" s="34" t="n"/>
      <c r="E152" s="35" t="n"/>
      <c r="F152" s="35" t="n"/>
      <c r="G152" s="41" t="n"/>
      <c r="H152" s="34" t="n"/>
      <c r="I152" s="36" t="n"/>
      <c r="J152" s="37" t="n"/>
    </row>
    <row r="153" ht="15" customHeight="1" s="62">
      <c r="A153" s="54" t="n"/>
      <c r="B153" s="33" t="n"/>
      <c r="C153" s="34" t="n"/>
      <c r="D153" s="34" t="n"/>
      <c r="E153" s="35" t="n"/>
      <c r="F153" s="35" t="n"/>
      <c r="G153" s="41" t="n"/>
      <c r="H153" s="34" t="n"/>
      <c r="I153" s="36" t="n"/>
      <c r="J153" s="37" t="n"/>
    </row>
    <row r="154" ht="15" customHeight="1" s="62">
      <c r="A154" s="54" t="n"/>
      <c r="B154" s="33" t="n"/>
      <c r="C154" s="34" t="n"/>
      <c r="D154" s="34" t="n"/>
      <c r="E154" s="35" t="n"/>
      <c r="F154" s="35" t="n"/>
      <c r="G154" s="41" t="n"/>
      <c r="H154" s="34" t="n"/>
      <c r="I154" s="36" t="n"/>
      <c r="J154" s="37" t="n"/>
    </row>
    <row r="155" ht="15" customHeight="1" s="62">
      <c r="A155" s="54" t="n"/>
      <c r="B155" s="33" t="n"/>
      <c r="C155" s="34" t="n"/>
      <c r="D155" s="34" t="n"/>
      <c r="E155" s="35" t="n"/>
      <c r="F155" s="35" t="n"/>
      <c r="G155" s="41" t="n"/>
      <c r="H155" s="34" t="n"/>
      <c r="I155" s="36" t="n"/>
      <c r="J155" s="37" t="n"/>
    </row>
    <row r="156" ht="15" customHeight="1" s="62">
      <c r="A156" s="54" t="n"/>
      <c r="B156" s="33" t="n"/>
      <c r="C156" s="34" t="n"/>
      <c r="D156" s="34" t="n"/>
      <c r="E156" s="35" t="n"/>
      <c r="F156" s="35" t="n"/>
      <c r="G156" s="41" t="n"/>
      <c r="H156" s="34" t="n"/>
      <c r="I156" s="36" t="n"/>
      <c r="J156" s="37" t="n"/>
    </row>
    <row r="157" ht="15" customHeight="1" s="62">
      <c r="A157" s="54" t="n"/>
      <c r="B157" s="33" t="n"/>
      <c r="C157" s="34" t="n"/>
      <c r="D157" s="34" t="n"/>
      <c r="E157" s="35" t="n"/>
      <c r="F157" s="35" t="n"/>
      <c r="G157" s="41" t="n"/>
      <c r="H157" s="34" t="n"/>
      <c r="I157" s="36" t="n"/>
      <c r="J157" s="37" t="n"/>
    </row>
    <row r="158" ht="15" customHeight="1" s="62">
      <c r="A158" s="54" t="n"/>
      <c r="B158" s="33" t="n"/>
      <c r="C158" s="34" t="n"/>
      <c r="D158" s="34" t="n"/>
      <c r="E158" s="35" t="n"/>
      <c r="F158" s="35" t="n"/>
      <c r="G158" s="41" t="n"/>
      <c r="H158" s="34" t="n"/>
      <c r="I158" s="36" t="n"/>
      <c r="J158" s="37" t="n"/>
    </row>
    <row r="159" ht="15" customHeight="1" s="62">
      <c r="A159" s="54" t="n"/>
      <c r="B159" s="33" t="n"/>
      <c r="C159" s="34" t="n"/>
      <c r="D159" s="34" t="n"/>
      <c r="E159" s="35" t="n"/>
      <c r="F159" s="35" t="n"/>
      <c r="G159" s="41" t="n"/>
      <c r="H159" s="34" t="n"/>
      <c r="I159" s="36" t="n"/>
      <c r="J159" s="37" t="n"/>
    </row>
    <row r="160" ht="15" customHeight="1" s="62">
      <c r="A160" s="54" t="n"/>
      <c r="B160" s="33" t="n"/>
      <c r="C160" s="34" t="n"/>
      <c r="D160" s="34" t="n"/>
      <c r="E160" s="35" t="n"/>
      <c r="F160" s="35" t="n"/>
      <c r="G160" s="41" t="n"/>
      <c r="H160" s="34" t="n"/>
      <c r="I160" s="36" t="n"/>
      <c r="J160" s="37" t="n"/>
    </row>
    <row r="161" ht="15" customHeight="1" s="62">
      <c r="A161" s="54" t="n"/>
      <c r="B161" s="33" t="n"/>
      <c r="C161" s="34" t="n"/>
      <c r="D161" s="34" t="n"/>
      <c r="E161" s="35" t="n"/>
      <c r="F161" s="35" t="n"/>
      <c r="G161" s="41" t="n"/>
      <c r="H161" s="34" t="n"/>
      <c r="I161" s="36" t="n"/>
      <c r="J161" s="37" t="n"/>
    </row>
    <row r="162" ht="15" customHeight="1" s="62">
      <c r="A162" s="54" t="n"/>
      <c r="B162" s="33" t="n"/>
      <c r="C162" s="34" t="n"/>
      <c r="D162" s="34" t="n"/>
      <c r="E162" s="35" t="n"/>
      <c r="F162" s="35" t="n"/>
      <c r="G162" s="41" t="n"/>
      <c r="H162" s="34" t="n"/>
      <c r="I162" s="36" t="n"/>
      <c r="J162" s="37" t="n"/>
    </row>
    <row r="163" ht="15" customHeight="1" s="62">
      <c r="A163" s="54" t="n"/>
      <c r="B163" s="33" t="n"/>
      <c r="C163" s="34" t="n"/>
      <c r="D163" s="34" t="n"/>
      <c r="E163" s="35" t="n"/>
      <c r="F163" s="35" t="n"/>
      <c r="G163" s="41" t="n"/>
      <c r="H163" s="34" t="n"/>
      <c r="I163" s="36" t="n"/>
      <c r="J163" s="37" t="n"/>
    </row>
    <row r="164" ht="15" customHeight="1" s="62">
      <c r="A164" s="54" t="n"/>
      <c r="B164" s="33" t="n"/>
      <c r="C164" s="34" t="n"/>
      <c r="D164" s="34" t="n"/>
      <c r="E164" s="35" t="n"/>
      <c r="F164" s="35" t="n"/>
      <c r="G164" s="41" t="n"/>
      <c r="H164" s="34" t="n"/>
      <c r="I164" s="36" t="n"/>
      <c r="J164" s="37" t="n"/>
    </row>
    <row r="165" ht="15" customHeight="1" s="62">
      <c r="A165" s="54" t="n"/>
      <c r="B165" s="33" t="n"/>
      <c r="C165" s="34" t="n"/>
      <c r="D165" s="34" t="n"/>
      <c r="E165" s="35" t="n"/>
      <c r="F165" s="35" t="n"/>
      <c r="G165" s="41" t="n"/>
      <c r="H165" s="34" t="n"/>
      <c r="I165" s="36" t="n"/>
      <c r="J165" s="37" t="n"/>
    </row>
    <row r="166" ht="15" customHeight="1" s="62">
      <c r="A166" s="54" t="n"/>
      <c r="B166" s="33" t="n"/>
      <c r="C166" s="34" t="n"/>
      <c r="D166" s="34" t="n"/>
      <c r="E166" s="35" t="n"/>
      <c r="F166" s="35" t="n"/>
      <c r="G166" s="41" t="n"/>
      <c r="H166" s="34" t="n"/>
      <c r="I166" s="36" t="n"/>
      <c r="J166" s="37" t="n"/>
    </row>
    <row r="167" ht="15" customHeight="1" s="62">
      <c r="A167" s="54" t="n"/>
      <c r="B167" s="33" t="n"/>
      <c r="C167" s="34" t="n"/>
      <c r="D167" s="34" t="n"/>
      <c r="E167" s="35" t="n"/>
      <c r="F167" s="35" t="n"/>
      <c r="G167" s="41" t="n"/>
      <c r="H167" s="34" t="n"/>
      <c r="I167" s="36" t="n"/>
      <c r="J167" s="37" t="n"/>
    </row>
    <row r="168" ht="15" customHeight="1" s="62">
      <c r="A168" s="54" t="n"/>
      <c r="B168" s="33" t="n"/>
      <c r="C168" s="34" t="n"/>
      <c r="D168" s="34" t="n"/>
      <c r="E168" s="35" t="n"/>
      <c r="F168" s="35" t="n"/>
      <c r="G168" s="41" t="n"/>
      <c r="H168" s="34" t="n"/>
      <c r="I168" s="36" t="n"/>
      <c r="J168" s="37" t="n"/>
    </row>
    <row r="169" ht="15" customHeight="1" s="62">
      <c r="A169" s="54" t="n"/>
      <c r="B169" s="33" t="n"/>
      <c r="C169" s="34" t="n"/>
      <c r="D169" s="34" t="n"/>
      <c r="E169" s="35" t="n"/>
      <c r="F169" s="35" t="n"/>
      <c r="G169" s="41" t="n"/>
      <c r="H169" s="34" t="n"/>
      <c r="I169" s="36" t="n"/>
      <c r="J169" s="37" t="n"/>
    </row>
    <row r="170" ht="15" customHeight="1" s="62">
      <c r="A170" s="54" t="n"/>
      <c r="B170" s="33" t="n"/>
      <c r="C170" s="34" t="n"/>
      <c r="D170" s="34" t="n"/>
      <c r="E170" s="35" t="n"/>
      <c r="F170" s="35" t="n"/>
      <c r="G170" s="41" t="n"/>
      <c r="H170" s="34" t="n"/>
      <c r="I170" s="36" t="n"/>
      <c r="J170" s="37" t="n"/>
    </row>
    <row r="171" ht="15" customHeight="1" s="62">
      <c r="A171" s="54" t="n"/>
      <c r="B171" s="33" t="n"/>
      <c r="C171" s="34" t="n"/>
      <c r="D171" s="34" t="n"/>
      <c r="E171" s="35" t="n"/>
      <c r="F171" s="35" t="n"/>
      <c r="G171" s="41" t="n"/>
      <c r="H171" s="34" t="n"/>
      <c r="I171" s="36" t="n"/>
      <c r="J171" s="37" t="n"/>
    </row>
    <row r="172" ht="15" customHeight="1" s="62">
      <c r="A172" s="54" t="n"/>
      <c r="B172" s="33" t="n"/>
      <c r="C172" s="34" t="n"/>
      <c r="D172" s="34" t="n"/>
      <c r="E172" s="35" t="n"/>
      <c r="F172" s="35" t="n"/>
      <c r="G172" s="41" t="n"/>
      <c r="H172" s="34" t="n"/>
      <c r="I172" s="36" t="n"/>
      <c r="J172" s="37" t="n"/>
    </row>
    <row r="173" ht="15" customHeight="1" s="62">
      <c r="A173" s="54" t="n"/>
      <c r="B173" s="33" t="n"/>
      <c r="C173" s="34" t="n"/>
      <c r="D173" s="34" t="n"/>
      <c r="E173" s="35" t="n"/>
      <c r="F173" s="35" t="n"/>
      <c r="G173" s="41" t="n"/>
      <c r="H173" s="34" t="n"/>
      <c r="I173" s="36" t="n"/>
      <c r="J173" s="37" t="n"/>
    </row>
    <row r="174" ht="15" customHeight="1" s="62">
      <c r="A174" s="54" t="n"/>
      <c r="B174" s="33" t="n"/>
      <c r="C174" s="34" t="n"/>
      <c r="D174" s="34" t="n"/>
      <c r="E174" s="35" t="n"/>
      <c r="F174" s="35" t="n"/>
      <c r="G174" s="41" t="n"/>
      <c r="H174" s="34" t="n"/>
      <c r="I174" s="36" t="n"/>
      <c r="J174" s="37" t="n"/>
    </row>
    <row r="175" ht="15" customHeight="1" s="62">
      <c r="A175" s="54" t="n"/>
      <c r="B175" s="33" t="n"/>
      <c r="C175" s="34" t="n"/>
      <c r="D175" s="34" t="n"/>
      <c r="E175" s="35" t="n"/>
      <c r="F175" s="35" t="n"/>
      <c r="G175" s="41" t="n"/>
      <c r="H175" s="34" t="n"/>
      <c r="I175" s="36" t="n"/>
      <c r="J175" s="37" t="n"/>
    </row>
    <row r="176" ht="15" customHeight="1" s="62">
      <c r="A176" s="54" t="n"/>
      <c r="B176" s="33" t="n"/>
      <c r="C176" s="34" t="n"/>
      <c r="D176" s="34" t="n"/>
      <c r="E176" s="35" t="n"/>
      <c r="F176" s="35" t="n"/>
      <c r="G176" s="41" t="n"/>
      <c r="H176" s="34" t="n"/>
      <c r="I176" s="36" t="n"/>
      <c r="J176" s="37" t="n"/>
    </row>
    <row r="177" ht="15" customHeight="1" s="62">
      <c r="A177" s="54" t="n"/>
      <c r="B177" s="33" t="n"/>
      <c r="C177" s="34" t="n"/>
      <c r="D177" s="34" t="n"/>
      <c r="E177" s="35" t="n"/>
      <c r="F177" s="35" t="n"/>
      <c r="G177" s="41" t="n"/>
      <c r="H177" s="34" t="n"/>
      <c r="I177" s="36" t="n"/>
      <c r="J177" s="37" t="n"/>
    </row>
    <row r="178" ht="15" customHeight="1" s="62">
      <c r="A178" s="54" t="n"/>
      <c r="B178" s="33" t="n"/>
      <c r="C178" s="34" t="n"/>
      <c r="D178" s="34" t="n"/>
      <c r="E178" s="35" t="n"/>
      <c r="F178" s="35" t="n"/>
      <c r="G178" s="41" t="n"/>
      <c r="H178" s="34" t="n"/>
      <c r="I178" s="36" t="n"/>
      <c r="J178" s="37" t="n"/>
    </row>
    <row r="179" ht="15" customHeight="1" s="62">
      <c r="A179" s="54" t="n"/>
      <c r="B179" s="33" t="n"/>
      <c r="C179" s="34" t="n"/>
      <c r="D179" s="34" t="n"/>
      <c r="E179" s="35" t="n"/>
      <c r="F179" s="35" t="n"/>
      <c r="G179" s="41" t="n"/>
      <c r="H179" s="34" t="n"/>
      <c r="I179" s="36" t="n"/>
      <c r="J179" s="37" t="n"/>
    </row>
    <row r="180" ht="15" customHeight="1" s="62">
      <c r="A180" s="54" t="n"/>
      <c r="B180" s="33" t="n"/>
      <c r="C180" s="34" t="n"/>
      <c r="D180" s="34" t="n"/>
      <c r="E180" s="35" t="n"/>
      <c r="F180" s="35" t="n"/>
      <c r="G180" s="41" t="n"/>
      <c r="H180" s="34" t="n"/>
      <c r="I180" s="36" t="n"/>
      <c r="J180" s="37" t="n"/>
    </row>
    <row r="181" ht="15" customHeight="1" s="62">
      <c r="A181" s="54" t="n"/>
      <c r="B181" s="33" t="n"/>
      <c r="C181" s="34" t="n"/>
      <c r="D181" s="34" t="n"/>
      <c r="E181" s="35" t="n"/>
      <c r="F181" s="35" t="n"/>
      <c r="G181" s="41" t="n"/>
      <c r="H181" s="34" t="n"/>
      <c r="I181" s="36" t="n"/>
      <c r="J181" s="37" t="n"/>
    </row>
    <row r="182" ht="15" customHeight="1" s="62">
      <c r="A182" s="54" t="n"/>
      <c r="B182" s="33" t="n"/>
      <c r="C182" s="34" t="n"/>
      <c r="D182" s="34" t="n"/>
      <c r="E182" s="35" t="n"/>
      <c r="F182" s="35" t="n"/>
      <c r="G182" s="41" t="n"/>
      <c r="H182" s="34" t="n"/>
      <c r="I182" s="36" t="n"/>
      <c r="J182" s="37" t="n"/>
    </row>
    <row r="183" ht="15" customHeight="1" s="62">
      <c r="A183" s="54" t="n"/>
      <c r="B183" s="33" t="n"/>
      <c r="C183" s="34" t="n"/>
      <c r="D183" s="34" t="n"/>
      <c r="E183" s="35" t="n"/>
      <c r="F183" s="35" t="n"/>
      <c r="G183" s="41" t="n"/>
      <c r="H183" s="34" t="n"/>
      <c r="I183" s="36" t="n"/>
      <c r="J183" s="37" t="n"/>
    </row>
    <row r="184" ht="15" customHeight="1" s="62">
      <c r="A184" s="54" t="n"/>
      <c r="B184" s="33" t="n"/>
      <c r="C184" s="34" t="n"/>
      <c r="D184" s="34" t="n"/>
      <c r="E184" s="35" t="n"/>
      <c r="F184" s="35" t="n"/>
      <c r="G184" s="41" t="n"/>
      <c r="H184" s="34" t="n"/>
      <c r="I184" s="36" t="n"/>
      <c r="J184" s="37" t="n"/>
    </row>
    <row r="185" ht="15" customHeight="1" s="62">
      <c r="A185" s="54" t="n"/>
      <c r="B185" s="33" t="n"/>
      <c r="C185" s="34" t="n"/>
      <c r="D185" s="34" t="n"/>
      <c r="E185" s="35" t="n"/>
      <c r="F185" s="35" t="n"/>
      <c r="G185" s="41" t="n"/>
      <c r="H185" s="34" t="n"/>
      <c r="I185" s="36" t="n"/>
      <c r="J185" s="37" t="n"/>
    </row>
    <row r="186" ht="15" customHeight="1" s="62">
      <c r="A186" s="54" t="n"/>
      <c r="B186" s="33" t="n"/>
      <c r="C186" s="34" t="n"/>
      <c r="D186" s="34" t="n"/>
      <c r="E186" s="35" t="n"/>
      <c r="F186" s="35" t="n"/>
      <c r="G186" s="41" t="n"/>
      <c r="H186" s="34" t="n"/>
      <c r="I186" s="36" t="n"/>
      <c r="J186" s="37" t="n"/>
    </row>
    <row r="187" ht="15" customHeight="1" s="62">
      <c r="A187" s="54" t="n"/>
      <c r="B187" s="33" t="n"/>
      <c r="C187" s="34" t="n"/>
      <c r="D187" s="34" t="n"/>
      <c r="E187" s="35" t="n"/>
      <c r="F187" s="35" t="n"/>
      <c r="G187" s="41" t="n"/>
      <c r="H187" s="34" t="n"/>
      <c r="I187" s="36" t="n"/>
      <c r="J187" s="37" t="n"/>
    </row>
    <row r="188" ht="15" customHeight="1" s="62">
      <c r="A188" s="54" t="n"/>
      <c r="B188" s="33" t="n"/>
      <c r="C188" s="34" t="n"/>
      <c r="D188" s="34" t="n"/>
      <c r="E188" s="35" t="n"/>
      <c r="F188" s="35" t="n"/>
      <c r="G188" s="41" t="n"/>
      <c r="H188" s="34" t="n"/>
      <c r="I188" s="36" t="n"/>
      <c r="J188" s="37" t="n"/>
    </row>
    <row r="189" ht="15" customHeight="1" s="62">
      <c r="A189" s="54" t="n"/>
      <c r="B189" s="33" t="n"/>
      <c r="C189" s="34" t="n"/>
      <c r="D189" s="34" t="n"/>
      <c r="E189" s="35" t="n"/>
      <c r="F189" s="35" t="n"/>
      <c r="G189" s="41" t="n"/>
      <c r="H189" s="34" t="n"/>
      <c r="I189" s="36" t="n"/>
      <c r="J189" s="37" t="n"/>
    </row>
    <row r="190" ht="15" customHeight="1" s="62">
      <c r="A190" s="54" t="n"/>
      <c r="B190" s="33" t="n"/>
      <c r="C190" s="34" t="n"/>
      <c r="D190" s="34" t="n"/>
      <c r="E190" s="35" t="n"/>
      <c r="F190" s="35" t="n"/>
      <c r="G190" s="41" t="n"/>
      <c r="H190" s="34" t="n"/>
      <c r="I190" s="36" t="n"/>
      <c r="J190" s="37" t="n"/>
    </row>
    <row r="191" ht="15" customHeight="1" s="62">
      <c r="A191" s="54" t="n"/>
      <c r="B191" s="33" t="n"/>
      <c r="C191" s="34" t="n"/>
      <c r="D191" s="34" t="n"/>
      <c r="E191" s="35" t="n"/>
      <c r="F191" s="35" t="n"/>
      <c r="G191" s="41" t="n"/>
      <c r="H191" s="34" t="n"/>
      <c r="I191" s="36" t="n"/>
      <c r="J191" s="37" t="n"/>
    </row>
    <row r="192" ht="15" customHeight="1" s="62">
      <c r="A192" s="54" t="n"/>
      <c r="B192" s="33" t="n"/>
      <c r="C192" s="34" t="n"/>
      <c r="D192" s="34" t="n"/>
      <c r="E192" s="35" t="n"/>
      <c r="F192" s="35" t="n"/>
      <c r="G192" s="41" t="n"/>
      <c r="H192" s="34" t="n"/>
      <c r="I192" s="36" t="n"/>
      <c r="J192" s="37" t="n"/>
    </row>
    <row r="193" ht="15" customHeight="1" s="62">
      <c r="A193" s="54" t="n"/>
      <c r="B193" s="33" t="n"/>
      <c r="C193" s="34" t="n"/>
      <c r="D193" s="34" t="n"/>
      <c r="E193" s="35" t="n"/>
      <c r="F193" s="35" t="n"/>
      <c r="G193" s="41" t="n"/>
      <c r="H193" s="34" t="n"/>
      <c r="I193" s="36" t="n"/>
      <c r="J193" s="37" t="n"/>
    </row>
    <row r="194" ht="15" customHeight="1" s="62">
      <c r="A194" s="54" t="n"/>
      <c r="B194" s="33" t="n"/>
      <c r="C194" s="34" t="n"/>
      <c r="D194" s="34" t="n"/>
      <c r="E194" s="35" t="n"/>
      <c r="F194" s="35" t="n"/>
      <c r="G194" s="41" t="n"/>
      <c r="H194" s="34" t="n"/>
      <c r="I194" s="36" t="n"/>
      <c r="J194" s="37" t="n"/>
    </row>
    <row r="195" ht="15" customHeight="1" s="62">
      <c r="A195" s="54" t="n"/>
      <c r="B195" s="33" t="n"/>
      <c r="C195" s="34" t="n"/>
      <c r="D195" s="34" t="n"/>
      <c r="E195" s="35" t="n"/>
      <c r="F195" s="35" t="n"/>
      <c r="G195" s="41" t="n"/>
      <c r="H195" s="34" t="n"/>
      <c r="I195" s="36" t="n"/>
      <c r="J195" s="37" t="n"/>
    </row>
    <row r="196" ht="15" customHeight="1" s="62">
      <c r="A196" s="54" t="n"/>
      <c r="B196" s="33" t="n"/>
      <c r="C196" s="34" t="n"/>
      <c r="D196" s="34" t="n"/>
      <c r="E196" s="35" t="n"/>
      <c r="F196" s="35" t="n"/>
      <c r="G196" s="41" t="n"/>
      <c r="H196" s="34" t="n"/>
      <c r="I196" s="36" t="n"/>
      <c r="J196" s="37" t="n"/>
    </row>
    <row r="197" ht="15" customHeight="1" s="62">
      <c r="A197" s="54" t="n"/>
      <c r="B197" s="33" t="n"/>
      <c r="C197" s="34" t="n"/>
      <c r="D197" s="34" t="n"/>
      <c r="E197" s="35" t="n"/>
      <c r="F197" s="35" t="n"/>
      <c r="G197" s="41" t="n"/>
      <c r="H197" s="34" t="n"/>
      <c r="I197" s="36" t="n"/>
      <c r="J197" s="37" t="n"/>
    </row>
    <row r="198" ht="15" customHeight="1" s="62">
      <c r="A198" s="54" t="n"/>
      <c r="B198" s="33" t="n"/>
      <c r="C198" s="34" t="n"/>
      <c r="D198" s="34" t="n"/>
      <c r="E198" s="35" t="n"/>
      <c r="F198" s="35" t="n"/>
      <c r="G198" s="41" t="n"/>
      <c r="H198" s="34" t="n"/>
      <c r="I198" s="36" t="n"/>
      <c r="J198" s="37" t="n"/>
    </row>
    <row r="199" ht="15" customHeight="1" s="62">
      <c r="A199" s="54" t="n"/>
      <c r="B199" s="33" t="n"/>
      <c r="C199" s="34" t="n"/>
      <c r="D199" s="34" t="n"/>
      <c r="E199" s="35" t="n"/>
      <c r="F199" s="35" t="n"/>
      <c r="G199" s="41" t="n"/>
      <c r="H199" s="34" t="n"/>
      <c r="I199" s="36" t="n"/>
      <c r="J199" s="37" t="n"/>
    </row>
    <row r="200" ht="15" customHeight="1" s="62">
      <c r="A200" s="54" t="n"/>
      <c r="B200" s="33" t="n"/>
      <c r="C200" s="34" t="n"/>
      <c r="D200" s="34" t="n"/>
      <c r="E200" s="35" t="n"/>
      <c r="F200" s="35" t="n"/>
      <c r="G200" s="41" t="n"/>
      <c r="H200" s="34" t="n"/>
      <c r="I200" s="36" t="n"/>
      <c r="J200" s="37" t="n"/>
    </row>
    <row r="201" ht="15" customHeight="1" s="62">
      <c r="A201" s="54" t="n"/>
      <c r="B201" s="33" t="n"/>
      <c r="C201" s="34" t="n"/>
      <c r="D201" s="34" t="n"/>
      <c r="E201" s="35" t="n"/>
      <c r="F201" s="35" t="n"/>
      <c r="G201" s="41" t="n"/>
      <c r="H201" s="34" t="n"/>
      <c r="I201" s="36" t="n"/>
      <c r="J201" s="37" t="n"/>
    </row>
    <row r="202" ht="15" customHeight="1" s="62">
      <c r="A202" s="54" t="n"/>
      <c r="B202" s="33" t="n"/>
      <c r="C202" s="34" t="n"/>
      <c r="D202" s="34" t="n"/>
      <c r="E202" s="35" t="n"/>
      <c r="F202" s="35" t="n"/>
      <c r="G202" s="41" t="n"/>
      <c r="H202" s="34" t="n"/>
      <c r="I202" s="36" t="n"/>
      <c r="J202" s="37" t="n"/>
    </row>
    <row r="203" ht="15" customHeight="1" s="62">
      <c r="A203" s="54" t="n"/>
      <c r="B203" s="33" t="n"/>
      <c r="C203" s="34" t="n"/>
      <c r="D203" s="34" t="n"/>
      <c r="E203" s="35" t="n"/>
      <c r="F203" s="35" t="n"/>
      <c r="G203" s="41" t="n"/>
      <c r="H203" s="34" t="n"/>
      <c r="I203" s="36" t="n"/>
      <c r="J203" s="37" t="n"/>
    </row>
    <row r="204" ht="15" customHeight="1" s="62">
      <c r="A204" s="54" t="n"/>
      <c r="B204" s="33" t="n"/>
      <c r="C204" s="34" t="n"/>
      <c r="D204" s="34" t="n"/>
      <c r="E204" s="35" t="n"/>
      <c r="F204" s="35" t="n"/>
      <c r="G204" s="41" t="n"/>
      <c r="H204" s="34" t="n"/>
      <c r="I204" s="36" t="n"/>
      <c r="J204" s="37" t="n"/>
    </row>
    <row r="205" ht="15" customHeight="1" s="62">
      <c r="A205" s="54" t="n"/>
      <c r="B205" s="33" t="n"/>
      <c r="C205" s="34" t="n"/>
      <c r="D205" s="34" t="n"/>
      <c r="E205" s="35" t="n"/>
      <c r="F205" s="35" t="n"/>
      <c r="G205" s="41" t="n"/>
      <c r="H205" s="34" t="n"/>
      <c r="I205" s="36" t="n"/>
      <c r="J205" s="37" t="n"/>
    </row>
    <row r="206" ht="15" customHeight="1" s="62">
      <c r="A206" s="54" t="n"/>
      <c r="B206" s="33" t="n"/>
      <c r="C206" s="34" t="n"/>
      <c r="D206" s="34" t="n"/>
      <c r="E206" s="35" t="n"/>
      <c r="F206" s="35" t="n"/>
      <c r="G206" s="41" t="n"/>
      <c r="H206" s="34" t="n"/>
      <c r="I206" s="36" t="n"/>
      <c r="J206" s="37" t="n"/>
    </row>
    <row r="207" ht="15" customHeight="1" s="62">
      <c r="A207" s="54" t="n"/>
      <c r="B207" s="33" t="n"/>
      <c r="C207" s="34" t="n"/>
      <c r="D207" s="34" t="n"/>
      <c r="E207" s="41" t="n"/>
      <c r="F207" s="41" t="n"/>
      <c r="G207" s="41" t="n"/>
      <c r="H207" s="34" t="n"/>
      <c r="I207" s="36" t="n"/>
      <c r="J207" s="37" t="n"/>
    </row>
    <row r="208" ht="15" customHeight="1" s="62">
      <c r="A208" s="54" t="n"/>
      <c r="B208" s="33" t="n"/>
      <c r="C208" s="34" t="n"/>
      <c r="D208" s="34" t="n"/>
      <c r="E208" s="41" t="n"/>
      <c r="F208" s="41" t="n"/>
      <c r="G208" s="41" t="n"/>
      <c r="H208" s="34" t="n"/>
      <c r="I208" s="36" t="n"/>
      <c r="J208" s="37" t="n"/>
    </row>
  </sheetData>
  <mergeCells count="3">
    <mergeCell ref="A1:J1"/>
    <mergeCell ref="A4:J4"/>
    <mergeCell ref="A2:J2"/>
  </mergeCells>
  <conditionalFormatting sqref="A6:H100">
    <cfRule type="expression" priority="9" dxfId="1">
      <formula>$C6="Monthly Rent Charge"</formula>
    </cfRule>
    <cfRule type="expression" priority="11" dxfId="0">
      <formula>$C6="Payment Received"</formula>
    </cfRule>
  </conditionalFormatting>
  <conditionalFormatting sqref="H3">
    <cfRule type="cellIs" priority="16" operator="lessThan" dxfId="3">
      <formula>0</formula>
    </cfRule>
    <cfRule type="cellIs" priority="17" operator="equal" dxfId="3">
      <formula>0</formula>
    </cfRule>
    <cfRule type="cellIs" priority="18" operator="greaterThan" dxfId="2">
      <formula>0</formula>
    </cfRule>
  </conditionalFormatting>
  <conditionalFormatting sqref="I6:I100">
    <cfRule type="cellIs" priority="13" operator="lessThan" dxfId="3">
      <formula>0</formula>
    </cfRule>
    <cfRule type="cellIs" priority="14" operator="equal" dxfId="3">
      <formula>0</formula>
    </cfRule>
    <cfRule type="cellIs" priority="15" operator="greaterThan" dxfId="2">
      <formula>0</formula>
    </cfRule>
  </conditionalFormatting>
  <conditionalFormatting sqref="J6:J100">
    <cfRule type="expression" priority="10" dxfId="1">
      <formula>$C6="Monthly Rent Charge"</formula>
    </cfRule>
    <cfRule type="expression" priority="12" dxfId="0">
      <formula>$C6="Payment Received"</formula>
    </cfRule>
  </conditionalFormatting>
  <dataValidations count="3">
    <dataValidation sqref="B6:B32" showDropDown="0" showInputMessage="0" showErrorMessage="0" allowBlank="1" type="list">
      <formula1>"January,February,March,April,May,June,July,August,September,October,November,December"</formula1>
      <formula2>0</formula2>
    </dataValidation>
    <dataValidation sqref="C6:C32" showDropDown="0" showInputMessage="0" showErrorMessage="0" allowBlank="1" type="list">
      <formula1>"Monthly Rent Charge,Payment Received"</formula1>
      <formula2>0</formula2>
    </dataValidation>
    <dataValidation sqref="A6:A208" showDropDown="0" showInputMessage="1" showErrorMessage="1" allowBlank="1" errorTitle="Invalid date" error="Please enter a valid date." promptTitle="Select a date" prompt="Use the date picker or enter a valid payment date here." type="date">
      <formula1>DATE(2000,1,1)</formula1>
      <formula2>DATE(2100,12,31)</formula2>
    </dataValidation>
  </dataValidations>
  <pageMargins left="0.2362204724409449" right="0.2362204724409449" top="0.7480314960629921" bottom="0.7480314960629921" header="0.3149606299212598" footer="0.3149606299212598"/>
  <pageSetup orientation="landscape" paperSize="9" scale="70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0"/>
  <sheetViews>
    <sheetView topLeftCell="A40" zoomScaleNormal="100" workbookViewId="0">
      <selection activeCell="F63" sqref="F63"/>
    </sheetView>
  </sheetViews>
  <sheetFormatPr baseColWidth="8" defaultColWidth="8.6640625" defaultRowHeight="14.4"/>
  <cols>
    <col width="14" customWidth="1" style="62" min="1" max="1"/>
    <col width="24" customWidth="1" style="62" min="3" max="3"/>
    <col width="19.109375" customWidth="1" style="62" min="4" max="4"/>
    <col width="15" customWidth="1" style="62" min="5" max="5"/>
    <col width="17" customWidth="1" style="62" min="6" max="6"/>
    <col width="18" customWidth="1" style="62" min="7" max="7"/>
    <col width="22" customWidth="1" style="62" min="8" max="8"/>
    <col width="17" customWidth="1" style="62" min="9" max="9"/>
    <col width="30" customWidth="1" style="62" min="10" max="10"/>
    <col width="12" customWidth="1" style="62" min="11" max="11"/>
    <col width="10" customWidth="1" style="62" min="12" max="12"/>
  </cols>
  <sheetData>
    <row r="1" ht="19.5" customHeight="1" s="62">
      <c r="A1" s="74" t="inlineStr">
        <is>
          <t>Unit A2 — Tenant Statement / Ledger</t>
        </is>
      </c>
    </row>
    <row r="2" ht="27.75" customHeight="1" s="62">
      <c r="A2" s="76" t="inlineStr">
        <is>
          <t>Select a month to create a Monthly Rent Charge: the date fills as the first day of that month (current year) and description fills automatically. For a payment, leave Month blank and choose Payment Received.</t>
        </is>
      </c>
    </row>
    <row r="3" ht="15" customHeight="1" s="62">
      <c r="A3" s="25" t="inlineStr">
        <is>
          <t>Unit</t>
        </is>
      </c>
      <c r="B3" s="25" t="inlineStr">
        <is>
          <t>A2</t>
        </is>
      </c>
      <c r="C3" s="25" t="inlineStr">
        <is>
          <t>Current Rent</t>
        </is>
      </c>
      <c r="D3" s="26" t="n">
        <v>4500</v>
      </c>
      <c r="E3" s="26" t="inlineStr">
        <is>
          <t>Garbage</t>
        </is>
      </c>
      <c r="F3" s="26" t="n">
        <v>0</v>
      </c>
      <c r="G3" s="25" t="inlineStr">
        <is>
          <t>Current Balance</t>
        </is>
      </c>
      <c r="H3" s="27">
        <f>IFERROR(LOOKUP(9.99E+307,I6:I75),0)</f>
        <v/>
      </c>
      <c r="I3" s="25" t="inlineStr">
        <is>
          <t>Tenant</t>
        </is>
      </c>
      <c r="J3" s="28" t="inlineStr">
        <is>
          <t>KATIWA KAMENE</t>
        </is>
      </c>
      <c r="K3" s="29" t="inlineStr">
        <is>
          <t>Deposit Held</t>
        </is>
      </c>
      <c r="L3" s="30" t="n">
        <v>0</v>
      </c>
    </row>
    <row r="4">
      <c r="A4" s="75" t="inlineStr">
        <is>
          <t>Current tenant only. When vacating → copy rows to Archive sheet, then clear this ledger.</t>
        </is>
      </c>
    </row>
    <row r="5" ht="15" customHeight="1" s="62">
      <c r="A5" s="31" t="inlineStr">
        <is>
          <t>Date</t>
        </is>
      </c>
      <c r="B5" s="31" t="inlineStr">
        <is>
          <t>Month</t>
        </is>
      </c>
      <c r="C5" s="31" t="inlineStr">
        <is>
          <t>Description</t>
        </is>
      </c>
      <c r="D5" s="31" t="inlineStr">
        <is>
          <t>Tenant</t>
        </is>
      </c>
      <c r="E5" s="31" t="inlineStr">
        <is>
          <t>Rent Charged</t>
        </is>
      </c>
      <c r="F5" s="31" t="inlineStr">
        <is>
          <t>Garbage Charged</t>
        </is>
      </c>
      <c r="G5" s="31" t="inlineStr">
        <is>
          <t>Payment Received</t>
        </is>
      </c>
      <c r="H5" s="31" t="inlineStr">
        <is>
          <t>M-Pesa Reference</t>
        </is>
      </c>
      <c r="I5" s="31" t="inlineStr">
        <is>
          <t>Running Balance</t>
        </is>
      </c>
      <c r="J5" s="31" t="inlineStr">
        <is>
          <t>Remarks</t>
        </is>
      </c>
    </row>
    <row r="6" ht="15" customHeight="1" s="62">
      <c r="A6" s="53" t="n">
        <v>45413</v>
      </c>
      <c r="B6" s="33" t="inlineStr">
        <is>
          <t>May</t>
        </is>
      </c>
      <c r="C6" s="34" t="inlineStr">
        <is>
          <t>Monthly Rent Charge</t>
        </is>
      </c>
      <c r="D6" s="34" t="n"/>
      <c r="E6" s="35">
        <f>IF(C6="Monthly Rent Charge",$D$3,"")</f>
        <v/>
      </c>
      <c r="F6" s="35">
        <f>IF(C6="Monthly Rent Charge",$F$3,"")</f>
        <v/>
      </c>
      <c r="G6" s="41" t="n"/>
      <c r="H6" s="34" t="n"/>
      <c r="I6" s="36">
        <f>IF(A6="","",IF(C6="Payment Received",-IFERROR(G6,0),IF(C6="Monthly Rent Charge",IFERROR(E6,0)+IFERROR(F6,0),0)))</f>
        <v/>
      </c>
      <c r="J6" s="37" t="n"/>
    </row>
    <row r="7" ht="15" customHeight="1" s="62">
      <c r="A7" s="53" t="n">
        <v>45417</v>
      </c>
      <c r="B7" s="33" t="n"/>
      <c r="C7" s="34" t="inlineStr">
        <is>
          <t>Payment Received</t>
        </is>
      </c>
      <c r="D7" s="34" t="n"/>
      <c r="E7" s="35">
        <f>IF(C7="Monthly Rent Charge",$D$3,"")</f>
        <v/>
      </c>
      <c r="F7" s="35">
        <f>IF(C7="Monthly Rent Charge",$F$3,"")</f>
        <v/>
      </c>
      <c r="G7" s="41" t="n">
        <v>4500</v>
      </c>
      <c r="H7" s="39" t="inlineStr">
        <is>
          <t>SE57AGDEVX</t>
        </is>
      </c>
      <c r="I7" s="36">
        <f>IF(A7="","",IF(C7="Payment Received",I6-IFERROR(G7,0),IF(C7="Monthly Rent Charge",I6+IFERROR(E7,0)+IFERROR(F7,0),I6)))</f>
        <v/>
      </c>
      <c r="J7" s="37" t="n"/>
    </row>
    <row r="8" ht="15" customHeight="1" s="62">
      <c r="A8" s="54" t="n">
        <v>45444</v>
      </c>
      <c r="B8" s="33" t="inlineStr">
        <is>
          <t>June</t>
        </is>
      </c>
      <c r="C8" s="34" t="inlineStr">
        <is>
          <t>Monthly Rent Charge</t>
        </is>
      </c>
      <c r="D8" s="34" t="n"/>
      <c r="E8" s="35">
        <f>IF(C8="Monthly Rent Charge",$D$3,"")</f>
        <v/>
      </c>
      <c r="F8" s="35">
        <f>IF(C8="Monthly Rent Charge",$F$3,"")</f>
        <v/>
      </c>
      <c r="G8" s="41" t="n"/>
      <c r="H8" s="34" t="n"/>
      <c r="I8" s="36">
        <f>IF(A8="","",IF(C8="Payment Received",I7-IFERROR(G8,0),IF(C8="Monthly Rent Charge",I7+IFERROR(E8,0)+IFERROR(F8,0),I7)))</f>
        <v/>
      </c>
      <c r="J8" s="37" t="n"/>
    </row>
    <row r="9" ht="15" customHeight="1" s="62">
      <c r="A9" s="53" t="n">
        <v>45448</v>
      </c>
      <c r="B9" s="33" t="n"/>
      <c r="C9" s="34" t="inlineStr">
        <is>
          <t>Payment Received</t>
        </is>
      </c>
      <c r="D9" s="34" t="n"/>
      <c r="E9" s="35">
        <f>IF(C9="Monthly Rent Charge",$D$3,"")</f>
        <v/>
      </c>
      <c r="F9" s="35">
        <f>IF(C9="Monthly Rent Charge",$F$3,"")</f>
        <v/>
      </c>
      <c r="G9" s="41" t="n">
        <v>4500</v>
      </c>
      <c r="H9" s="39" t="inlineStr">
        <is>
          <t>SF54JVEV5Y</t>
        </is>
      </c>
      <c r="I9" s="36">
        <f>IF(A9="","",IF(C9="Payment Received",I8-IFERROR(G9,0),IF(C9="Monthly Rent Charge",I8+IFERROR(E9,0)+IFERROR(F9,0),I8)))</f>
        <v/>
      </c>
      <c r="J9" s="37" t="n"/>
    </row>
    <row r="10" ht="15" customHeight="1" s="62">
      <c r="A10" s="54" t="n">
        <v>45474</v>
      </c>
      <c r="B10" s="33" t="inlineStr">
        <is>
          <t>July</t>
        </is>
      </c>
      <c r="C10" s="34">
        <f>IF(B10="","","Monthly Rent Charge")</f>
        <v/>
      </c>
      <c r="D10" s="34" t="n"/>
      <c r="E10" s="35">
        <f>IF(C10="Monthly Rent Charge",$D$3,"")</f>
        <v/>
      </c>
      <c r="F10" s="35">
        <f>IF(C10="Monthly Rent Charge",$F$3,"")</f>
        <v/>
      </c>
      <c r="G10" s="41" t="n"/>
      <c r="H10" s="34" t="n"/>
      <c r="I10" s="36">
        <f>IF(A10="","",IF(C10="Payment Received",I9-IFERROR(G10,0),IF(C10="Monthly Rent Charge",I9+IFERROR(E10,0)+IFERROR(F10,0),I9)))</f>
        <v/>
      </c>
      <c r="J10" s="37" t="n"/>
    </row>
    <row r="11" ht="15" customHeight="1" s="62">
      <c r="A11" s="53" t="n">
        <v>45479</v>
      </c>
      <c r="B11" s="33" t="n"/>
      <c r="C11" s="34" t="inlineStr">
        <is>
          <t>Payment Received</t>
        </is>
      </c>
      <c r="D11" s="34" t="n"/>
      <c r="E11" s="35">
        <f>IF(C11="Monthly Rent Charge",$D$3,"")</f>
        <v/>
      </c>
      <c r="F11" s="35">
        <f>IF(C11="Monthly Rent Charge",$F$3,"")</f>
        <v/>
      </c>
      <c r="G11" s="41" t="n">
        <v>4500</v>
      </c>
      <c r="H11" s="39" t="inlineStr">
        <is>
          <t>SG63QGNDV9</t>
        </is>
      </c>
      <c r="I11" s="36">
        <f>IF(A11="","",IF(C11="Payment Received",I10-IFERROR(G11,0),IF(C11="Monthly Rent Charge",I10+IFERROR(E11,0)+IFERROR(F11,0),I10)))</f>
        <v/>
      </c>
      <c r="J11" s="37" t="n"/>
    </row>
    <row r="12" ht="15" customHeight="1" s="62">
      <c r="A12" s="54" t="n">
        <v>45505</v>
      </c>
      <c r="B12" s="33" t="inlineStr">
        <is>
          <t>August</t>
        </is>
      </c>
      <c r="C12" s="34">
        <f>IF(B12="","","Monthly Rent Charge")</f>
        <v/>
      </c>
      <c r="D12" s="34" t="n"/>
      <c r="E12" s="35">
        <f>IF(C12="Monthly Rent Charge",$D$3,"")</f>
        <v/>
      </c>
      <c r="F12" s="35">
        <f>IF(C12="Monthly Rent Charge",$F$3,"")</f>
        <v/>
      </c>
      <c r="G12" s="41" t="n"/>
      <c r="H12" s="34" t="n"/>
      <c r="I12" s="36">
        <f>IF(A12="","",IF(C12="Payment Received",I11-IFERROR(G12,0),IF(C12="Monthly Rent Charge",I11+IFERROR(E12,0)+IFERROR(F12,0),I11)))</f>
        <v/>
      </c>
      <c r="J12" s="37" t="n"/>
    </row>
    <row r="13" ht="15" customHeight="1" s="62">
      <c r="A13" s="53" t="n">
        <v>45510</v>
      </c>
      <c r="B13" s="33" t="n"/>
      <c r="C13" s="34" t="inlineStr">
        <is>
          <t>Payment Received</t>
        </is>
      </c>
      <c r="D13" s="34" t="n"/>
      <c r="E13" s="35">
        <f>IF(C13="Monthly Rent Charge",$D$3,"")</f>
        <v/>
      </c>
      <c r="F13" s="35">
        <f>IF(C13="Monthly Rent Charge",$F$3,"")</f>
        <v/>
      </c>
      <c r="G13" s="41" t="n">
        <v>4500</v>
      </c>
      <c r="H13" s="39" t="inlineStr">
        <is>
          <t>SH654CXXY9</t>
        </is>
      </c>
      <c r="I13" s="36">
        <f>IF(A13="","",IF(C13="Payment Received",I12-IFERROR(G13,0),IF(C13="Monthly Rent Charge",I12+IFERROR(E13,0)+IFERROR(F13,0),I12)))</f>
        <v/>
      </c>
      <c r="J13" s="37" t="n"/>
    </row>
    <row r="14" ht="15" customHeight="1" s="62">
      <c r="A14" s="54" t="n">
        <v>45536</v>
      </c>
      <c r="B14" s="33" t="inlineStr">
        <is>
          <t>September</t>
        </is>
      </c>
      <c r="C14" s="34">
        <f>IF(B14="","","Monthly Rent Charge")</f>
        <v/>
      </c>
      <c r="D14" s="34" t="n"/>
      <c r="E14" s="35">
        <f>IF(C14="Monthly Rent Charge",$D$3,"")</f>
        <v/>
      </c>
      <c r="F14" s="35">
        <f>IF(C14="Monthly Rent Charge",$F$3,"")</f>
        <v/>
      </c>
      <c r="G14" s="41" t="n"/>
      <c r="H14" s="34" t="n"/>
      <c r="I14" s="36">
        <f>IF(A14="","",IF(C14="Payment Received",I13-IFERROR(G14,0),IF(C14="Monthly Rent Charge",I13+IFERROR(E14,0)+IFERROR(F14,0),I13)))</f>
        <v/>
      </c>
      <c r="J14" s="37" t="n"/>
    </row>
    <row r="15" ht="15" customHeight="1" s="62">
      <c r="A15" s="53" t="n">
        <v>45542</v>
      </c>
      <c r="B15" s="33" t="n"/>
      <c r="C15" s="34" t="inlineStr">
        <is>
          <t>Payment Received</t>
        </is>
      </c>
      <c r="D15" s="34" t="n"/>
      <c r="E15" s="35">
        <f>IF(C15="Monthly Rent Charge",$D$3,"")</f>
        <v/>
      </c>
      <c r="F15" s="35">
        <f>IF(C15="Monthly Rent Charge",$F$3,"")</f>
        <v/>
      </c>
      <c r="G15" s="41" t="n">
        <v>4500</v>
      </c>
      <c r="H15" s="39" t="inlineStr">
        <is>
          <t>SI72PLCW0I</t>
        </is>
      </c>
      <c r="I15" s="36">
        <f>IF(A15="","",IF(C15="Payment Received",I14-IFERROR(G15,0),IF(C15="Monthly Rent Charge",I14+IFERROR(E15,0)+IFERROR(F15,0),I14)))</f>
        <v/>
      </c>
      <c r="J15" s="37" t="n"/>
    </row>
    <row r="16" ht="15" customHeight="1" s="62">
      <c r="A16" s="54" t="n">
        <v>45566</v>
      </c>
      <c r="B16" s="33" t="inlineStr">
        <is>
          <t>October</t>
        </is>
      </c>
      <c r="C16" s="34">
        <f>IF(B16="","","Monthly Rent Charge")</f>
        <v/>
      </c>
      <c r="D16" s="34" t="n"/>
      <c r="E16" s="35">
        <f>IF(C16="Monthly Rent Charge",$D$3,"")</f>
        <v/>
      </c>
      <c r="F16" s="35">
        <f>IF(C16="Monthly Rent Charge",$F$3,"")</f>
        <v/>
      </c>
      <c r="G16" s="41" t="n"/>
      <c r="H16" s="34" t="n"/>
      <c r="I16" s="36">
        <f>IF(A16="","",IF(C16="Payment Received",I15-IFERROR(G16,0),IF(C16="Monthly Rent Charge",I15+IFERROR(E16,0)+IFERROR(F16,0),I15)))</f>
        <v/>
      </c>
      <c r="J16" s="37" t="n"/>
    </row>
    <row r="17" ht="15" customHeight="1" s="62">
      <c r="A17" s="53" t="n">
        <v>45571</v>
      </c>
      <c r="B17" s="33" t="n"/>
      <c r="C17" s="34" t="inlineStr">
        <is>
          <t>Payment Received</t>
        </is>
      </c>
      <c r="D17" s="34" t="n"/>
      <c r="E17" s="35">
        <f>IF(C17="Monthly Rent Charge",$D$3,"")</f>
        <v/>
      </c>
      <c r="F17" s="35">
        <f>IF(C17="Monthly Rent Charge",$F$3,"")</f>
        <v/>
      </c>
      <c r="G17" s="41" t="n">
        <v>4500</v>
      </c>
      <c r="H17" s="39" t="inlineStr">
        <is>
          <t>SJ643CA9I2</t>
        </is>
      </c>
      <c r="I17" s="36">
        <f>IF(A17="","",IF(C17="Payment Received",I16-IFERROR(G17,0),IF(C17="Monthly Rent Charge",I16+IFERROR(E17,0)+IFERROR(F17,0),I16)))</f>
        <v/>
      </c>
      <c r="J17" s="37" t="n"/>
    </row>
    <row r="18" ht="15" customHeight="1" s="62">
      <c r="A18" s="54" t="n">
        <v>45597</v>
      </c>
      <c r="B18" s="33" t="inlineStr">
        <is>
          <t>November</t>
        </is>
      </c>
      <c r="C18" s="34" t="inlineStr">
        <is>
          <t>Monthly Rent Charge</t>
        </is>
      </c>
      <c r="D18" s="34" t="n"/>
      <c r="E18" s="35">
        <f>IF(C18="Monthly Rent Charge",$D$3,"")</f>
        <v/>
      </c>
      <c r="F18" s="35">
        <f>IF(C18="Monthly Rent Charge",$F$3,"")</f>
        <v/>
      </c>
      <c r="G18" s="41" t="n"/>
      <c r="H18" s="34" t="n"/>
      <c r="I18" s="36">
        <f>IF(A18="","",IF(C18="Payment Received",I17-IFERROR(G18,0),IF(C18="Monthly Rent Charge",I17+IFERROR(E18,0)+IFERROR(F18,0),I17)))</f>
        <v/>
      </c>
      <c r="J18" s="37" t="n"/>
    </row>
    <row r="19" ht="15" customHeight="1" s="62">
      <c r="A19" s="53" t="n">
        <v>45602</v>
      </c>
      <c r="B19" s="33" t="n"/>
      <c r="C19" s="34" t="inlineStr">
        <is>
          <t>Payment Received</t>
        </is>
      </c>
      <c r="D19" s="34" t="n"/>
      <c r="E19" s="35">
        <f>IF(C19="Monthly Rent Charge",$D$3,"")</f>
        <v/>
      </c>
      <c r="F19" s="35">
        <f>IF(C19="Monthly Rent Charge",$F$3,"")</f>
        <v/>
      </c>
      <c r="G19" s="41" t="n">
        <v>3000</v>
      </c>
      <c r="H19" s="39" t="inlineStr">
        <is>
          <t>SK67U4HX7V</t>
        </is>
      </c>
      <c r="I19" s="36">
        <f>IF(A19="","",IF(C19="Payment Received",I18-IFERROR(G19,0),IF(C19="Monthly Rent Charge",I18+IFERROR(E19,0)+IFERROR(F19,0),I18)))</f>
        <v/>
      </c>
      <c r="J19" s="37" t="n"/>
    </row>
    <row r="20" ht="15" customHeight="1" s="62">
      <c r="A20" s="54" t="n">
        <v>45627</v>
      </c>
      <c r="B20" s="33" t="inlineStr">
        <is>
          <t>December</t>
        </is>
      </c>
      <c r="C20" s="34" t="inlineStr">
        <is>
          <t>Monthly Rent Charge</t>
        </is>
      </c>
      <c r="D20" s="34" t="n"/>
      <c r="E20" s="35">
        <f>IF(C20="Monthly Rent Charge",$D$3,"")</f>
        <v/>
      </c>
      <c r="F20" s="35">
        <f>IF(C20="Monthly Rent Charge",$F$3,"")</f>
        <v/>
      </c>
      <c r="G20" s="41" t="n"/>
      <c r="H20" s="34" t="n"/>
      <c r="I20" s="36">
        <f>IF(A20="","",IF(C20="Payment Received",I19-IFERROR(G20,0),IF(C20="Monthly Rent Charge",I19+IFERROR(E20,0)+IFERROR(F20,0),I19)))</f>
        <v/>
      </c>
      <c r="J20" s="37" t="n"/>
    </row>
    <row r="21" ht="15" customHeight="1" s="62">
      <c r="A21" s="53" t="n">
        <v>45631</v>
      </c>
      <c r="B21" s="33" t="n"/>
      <c r="C21" s="34" t="inlineStr">
        <is>
          <t>Payment Received</t>
        </is>
      </c>
      <c r="D21" s="34" t="n"/>
      <c r="E21" s="35">
        <f>IF(C21="Monthly Rent Charge",$D$3,"")</f>
        <v/>
      </c>
      <c r="F21" s="35">
        <f>IF(C21="Monthly Rent Charge",$F$3,"")</f>
        <v/>
      </c>
      <c r="G21" s="41" t="n">
        <v>4500</v>
      </c>
      <c r="H21" s="39" t="inlineStr">
        <is>
          <t>SL59DSH8KN</t>
        </is>
      </c>
      <c r="I21" s="36">
        <f>IF(A21="","",IF(C21="Payment Received",I20-IFERROR(G21,0),IF(C21="Monthly Rent Charge",I20+IFERROR(E21,0)+IFERROR(F21,0),I20)))</f>
        <v/>
      </c>
      <c r="J21" s="37" t="n"/>
    </row>
    <row r="22" ht="15" customHeight="1" s="62">
      <c r="A22" s="54" t="n">
        <v>45658</v>
      </c>
      <c r="B22" s="33" t="inlineStr">
        <is>
          <t>January</t>
        </is>
      </c>
      <c r="C22" s="34" t="inlineStr">
        <is>
          <t>Monthly Rent Charge</t>
        </is>
      </c>
      <c r="D22" s="34" t="n"/>
      <c r="E22" s="35">
        <f>IF(C22="Monthly Rent Charge",$D$3,"")</f>
        <v/>
      </c>
      <c r="F22" s="35">
        <f>IF(C22="Monthly Rent Charge",$F$3,"")</f>
        <v/>
      </c>
      <c r="G22" s="41" t="n"/>
      <c r="H22" s="34" t="n"/>
      <c r="I22" s="36">
        <f>IF(A22="","",IF(C22="Payment Received",I21-IFERROR(G22,0),IF(C22="Monthly Rent Charge",I21+IFERROR(E22,0)+IFERROR(F22,0),I21)))</f>
        <v/>
      </c>
      <c r="J22" s="37" t="n"/>
    </row>
    <row r="23" ht="15" customHeight="1" s="62">
      <c r="A23" s="53" t="n">
        <v>45663</v>
      </c>
      <c r="B23" s="33" t="n"/>
      <c r="C23" s="34" t="inlineStr">
        <is>
          <t>Payment Received</t>
        </is>
      </c>
      <c r="D23" s="34" t="n"/>
      <c r="E23" s="35">
        <f>IF(C23="Monthly Rent Charge",$D$3,"")</f>
        <v/>
      </c>
      <c r="F23" s="35">
        <f>IF(C23="Monthly Rent Charge",$F$3,"")</f>
        <v/>
      </c>
      <c r="G23" s="41" t="n">
        <v>4500</v>
      </c>
      <c r="H23" s="39" t="inlineStr">
        <is>
          <t>TA608ISC04</t>
        </is>
      </c>
      <c r="I23" s="36">
        <f>IF(A23="","",IF(C23="Payment Received",I22-IFERROR(G23,0),IF(C23="Monthly Rent Charge",I22+IFERROR(E23,0)+IFERROR(F23,0),I22)))</f>
        <v/>
      </c>
      <c r="J23" s="37" t="n"/>
    </row>
    <row r="24" ht="15" customHeight="1" s="62">
      <c r="A24" s="54" t="n">
        <v>45689</v>
      </c>
      <c r="B24" s="33" t="inlineStr">
        <is>
          <t>February</t>
        </is>
      </c>
      <c r="C24" s="34" t="inlineStr">
        <is>
          <t>Monthly Rent Charge</t>
        </is>
      </c>
      <c r="D24" s="34" t="n"/>
      <c r="E24" s="35">
        <f>IF(C24="Monthly Rent Charge",$D$3,"")</f>
        <v/>
      </c>
      <c r="F24" s="35">
        <f>IF(C24="Monthly Rent Charge",$F$3,"")</f>
        <v/>
      </c>
      <c r="G24" s="41" t="n"/>
      <c r="H24" s="34" t="n"/>
      <c r="I24" s="36">
        <f>IF(A24="","",IF(C24="Payment Received",I23-IFERROR(G24,0),IF(C24="Monthly Rent Charge",I23+IFERROR(E24,0)+IFERROR(F24,0),I23)))</f>
        <v/>
      </c>
      <c r="J24" s="37" t="n"/>
    </row>
    <row r="25" ht="15" customHeight="1" s="62">
      <c r="A25" s="53" t="n">
        <v>45694</v>
      </c>
      <c r="B25" s="33" t="n"/>
      <c r="C25" s="34" t="inlineStr">
        <is>
          <t>Payment Received</t>
        </is>
      </c>
      <c r="D25" s="34" t="n"/>
      <c r="E25" s="35">
        <f>IF(C25="Monthly Rent Charge",$D$3,"")</f>
        <v/>
      </c>
      <c r="F25" s="35">
        <f>IF(C25="Monthly Rent Charge",$F$3,"")</f>
        <v/>
      </c>
      <c r="G25" s="41" t="n">
        <v>6000</v>
      </c>
      <c r="H25" s="39" t="inlineStr">
        <is>
          <t>TB681U2C3U</t>
        </is>
      </c>
      <c r="I25" s="36">
        <f>IF(A25="","",IF(C25="Payment Received",I24-IFERROR(G25,0),IF(C25="Monthly Rent Charge",I24+IFERROR(E25,0)+IFERROR(F25,0),I24)))</f>
        <v/>
      </c>
      <c r="J25" s="37" t="n"/>
    </row>
    <row r="26" ht="15" customHeight="1" s="62">
      <c r="A26" s="54" t="n">
        <v>45717</v>
      </c>
      <c r="B26" s="33" t="inlineStr">
        <is>
          <t>March</t>
        </is>
      </c>
      <c r="C26" s="34" t="inlineStr">
        <is>
          <t>Monthly Rent Charge</t>
        </is>
      </c>
      <c r="D26" s="34" t="n"/>
      <c r="E26" s="35">
        <f>IF(C26="Monthly Rent Charge",$D$3,"")</f>
        <v/>
      </c>
      <c r="F26" s="35">
        <f>IF(C26="Monthly Rent Charge",$F$3,"")</f>
        <v/>
      </c>
      <c r="G26" s="41" t="n"/>
      <c r="H26" s="34" t="n"/>
      <c r="I26" s="36">
        <f>IF(A26="","",IF(C26="Payment Received",I25-IFERROR(G26,0),IF(C26="Monthly Rent Charge",I25+IFERROR(E26,0)+IFERROR(F26,0),I25)))</f>
        <v/>
      </c>
      <c r="J26" s="37" t="n"/>
    </row>
    <row r="27" ht="15" customHeight="1" s="62">
      <c r="A27" s="53" t="n">
        <v>45727</v>
      </c>
      <c r="B27" s="33" t="n"/>
      <c r="C27" s="34" t="inlineStr">
        <is>
          <t>Payment Received</t>
        </is>
      </c>
      <c r="D27" s="34" t="n"/>
      <c r="E27" s="35">
        <f>IF(C27="Monthly Rent Charge",$D$3,"")</f>
        <v/>
      </c>
      <c r="F27" s="35">
        <f>IF(C27="Monthly Rent Charge",$F$3,"")</f>
        <v/>
      </c>
      <c r="G27" s="41" t="n">
        <v>4500</v>
      </c>
      <c r="H27" s="39" t="inlineStr">
        <is>
          <t>TCB6808HS0</t>
        </is>
      </c>
      <c r="I27" s="36">
        <f>IF(A27="","",IF(C27="Payment Received",I26-IFERROR(G27,0),IF(C27="Monthly Rent Charge",I26+IFERROR(E27,0)+IFERROR(F27,0),I26)))</f>
        <v/>
      </c>
      <c r="J27" s="37" t="n"/>
    </row>
    <row r="28" ht="15" customHeight="1" s="62">
      <c r="A28" s="54" t="n">
        <v>45748</v>
      </c>
      <c r="B28" s="33" t="inlineStr">
        <is>
          <t>April</t>
        </is>
      </c>
      <c r="C28" s="34" t="inlineStr">
        <is>
          <t>Monthly Rent Charge</t>
        </is>
      </c>
      <c r="D28" s="34" t="n"/>
      <c r="E28" s="35">
        <f>IF(C28="Monthly Rent Charge",$D$3,"")</f>
        <v/>
      </c>
      <c r="F28" s="35">
        <f>IF(C28="Monthly Rent Charge",$F$3,"")</f>
        <v/>
      </c>
      <c r="G28" s="41" t="n"/>
      <c r="H28" s="34" t="n"/>
      <c r="I28" s="36">
        <f>IF(A28="","",IF(C28="Payment Received",I27-IFERROR(G28,0),IF(C28="Monthly Rent Charge",I27+IFERROR(E28,0)+IFERROR(F28,0),I27)))</f>
        <v/>
      </c>
      <c r="J28" s="37" t="n"/>
    </row>
    <row r="29" ht="15" customHeight="1" s="62">
      <c r="A29" s="53" t="n">
        <v>45754</v>
      </c>
      <c r="B29" s="33" t="n"/>
      <c r="C29" s="34" t="inlineStr">
        <is>
          <t>Payment Received</t>
        </is>
      </c>
      <c r="D29" s="34" t="n"/>
      <c r="E29" s="35">
        <f>IF(C29="Monthly Rent Charge",$D$3,"")</f>
        <v/>
      </c>
      <c r="F29" s="35">
        <f>IF(C29="Monthly Rent Charge",$F$3,"")</f>
        <v/>
      </c>
      <c r="G29" s="41" t="n">
        <v>4500</v>
      </c>
      <c r="H29" s="39" t="inlineStr">
        <is>
          <t>TD73T0MGB1</t>
        </is>
      </c>
      <c r="I29" s="36">
        <f>IF(A29="","",IF(C29="Payment Received",I28-IFERROR(G29,0),IF(C29="Monthly Rent Charge",I28+IFERROR(E29,0)+IFERROR(F29,0),I28)))</f>
        <v/>
      </c>
      <c r="J29" s="37" t="n"/>
    </row>
    <row r="30" ht="15" customHeight="1" s="62">
      <c r="A30" s="54" t="n">
        <v>45778</v>
      </c>
      <c r="B30" s="33" t="inlineStr">
        <is>
          <t>May</t>
        </is>
      </c>
      <c r="C30" s="34" t="inlineStr">
        <is>
          <t>Monthly Rent Charge</t>
        </is>
      </c>
      <c r="D30" s="34" t="n"/>
      <c r="E30" s="35">
        <f>IF(C30="Monthly Rent Charge",$D$3,"")</f>
        <v/>
      </c>
      <c r="F30" s="35">
        <f>IF(C30="Monthly Rent Charge",$F$3,"")</f>
        <v/>
      </c>
      <c r="G30" s="41" t="n"/>
      <c r="H30" s="34" t="n"/>
      <c r="I30" s="36">
        <f>IF(A30="","",IF(C30="Payment Received",I29-IFERROR(G30,0),IF(C30="Monthly Rent Charge",I29+IFERROR(E30,0)+IFERROR(F30,0),I29)))</f>
        <v/>
      </c>
      <c r="J30" s="37" t="n"/>
    </row>
    <row r="31" ht="15" customHeight="1" s="62">
      <c r="A31" s="53" t="n">
        <v>45782</v>
      </c>
      <c r="B31" s="33" t="n"/>
      <c r="C31" s="34" t="inlineStr">
        <is>
          <t>Payment Received</t>
        </is>
      </c>
      <c r="D31" s="34" t="n"/>
      <c r="E31" s="35">
        <f>IF(C31="Monthly Rent Charge",$D$3,"")</f>
        <v/>
      </c>
      <c r="F31" s="35">
        <f>IF(C31="Monthly Rent Charge",$F$3,"")</f>
        <v/>
      </c>
      <c r="G31" s="41" t="n">
        <v>4500</v>
      </c>
      <c r="H31" s="39" t="inlineStr">
        <is>
          <t>TE58KFI578</t>
        </is>
      </c>
      <c r="I31" s="36">
        <f>IF(A31="","",IF(C31="Payment Received",I30-IFERROR(G31,0),IF(C31="Monthly Rent Charge",I30+IFERROR(E31,0)+IFERROR(F31,0),I30)))</f>
        <v/>
      </c>
      <c r="J31" s="37" t="n"/>
    </row>
    <row r="32" ht="15" customHeight="1" s="62">
      <c r="A32" s="54" t="n">
        <v>45809</v>
      </c>
      <c r="B32" s="33" t="inlineStr">
        <is>
          <t>June</t>
        </is>
      </c>
      <c r="C32" s="34" t="inlineStr">
        <is>
          <t>Monthly Rent Charge</t>
        </is>
      </c>
      <c r="D32" s="34" t="n"/>
      <c r="E32" s="35">
        <f>IF(C32="Monthly Rent Charge",$D$3,"")</f>
        <v/>
      </c>
      <c r="F32" s="35">
        <f>IF(C32="Monthly Rent Charge",$F$3,"")</f>
        <v/>
      </c>
      <c r="G32" s="41" t="n"/>
      <c r="H32" s="34" t="n"/>
      <c r="I32" s="36">
        <f>IF(A32="","",IF(C32="Payment Received",I31-IFERROR(G32,0),IF(C32="Monthly Rent Charge",I31+IFERROR(E32,0)+IFERROR(F32,0),I31)))</f>
        <v/>
      </c>
      <c r="J32" s="37" t="n"/>
    </row>
    <row r="33" ht="15" customHeight="1" s="62">
      <c r="A33" s="53" t="n">
        <v>45815</v>
      </c>
      <c r="B33" s="33" t="n"/>
      <c r="C33" s="34" t="inlineStr">
        <is>
          <t>Payment Received</t>
        </is>
      </c>
      <c r="D33" s="34" t="n"/>
      <c r="E33" s="35">
        <f>IF(C33="Monthly Rent Charge",$D$3,"")</f>
        <v/>
      </c>
      <c r="F33" s="35">
        <f>IF(C33="Monthly Rent Charge",$F$3,"")</f>
        <v/>
      </c>
      <c r="G33" s="41" t="n">
        <v>4500</v>
      </c>
      <c r="H33" s="39" t="inlineStr">
        <is>
          <t>TF71YMZMWL</t>
        </is>
      </c>
      <c r="I33" s="36">
        <f>IF(A33="","",IF(C33="Payment Received",I32-IFERROR(G33,0),IF(C33="Monthly Rent Charge",I32+IFERROR(E33,0)+IFERROR(F33,0),I32)))</f>
        <v/>
      </c>
      <c r="J33" s="37" t="n"/>
    </row>
    <row r="34" ht="15" customHeight="1" s="62">
      <c r="A34" s="54" t="n">
        <v>45839</v>
      </c>
      <c r="B34" s="33" t="inlineStr">
        <is>
          <t>July</t>
        </is>
      </c>
      <c r="C34" s="34" t="inlineStr">
        <is>
          <t>Monthly Rent Charge</t>
        </is>
      </c>
      <c r="D34" s="34" t="n"/>
      <c r="E34" s="35">
        <f>IF(C34="Monthly Rent Charge",$D$3,"")</f>
        <v/>
      </c>
      <c r="F34" s="35">
        <f>IF(C34="Monthly Rent Charge",$F$3,"")</f>
        <v/>
      </c>
      <c r="G34" s="41" t="n"/>
      <c r="H34" s="34" t="n"/>
      <c r="I34" s="36">
        <f>IF(A34="","",IF(C34="Payment Received",I33-IFERROR(G34,0),IF(C34="Monthly Rent Charge",I33+IFERROR(E34,0)+IFERROR(F34,0),I33)))</f>
        <v/>
      </c>
      <c r="J34" s="37" t="n"/>
    </row>
    <row r="35" ht="15" customHeight="1" s="62">
      <c r="A35" s="53" t="n">
        <v>45845</v>
      </c>
      <c r="B35" s="33" t="n"/>
      <c r="C35" s="34" t="inlineStr">
        <is>
          <t>Payment Received</t>
        </is>
      </c>
      <c r="D35" s="34" t="n"/>
      <c r="E35" s="35">
        <f>IF(C35="Monthly Rent Charge",$D$3,"")</f>
        <v/>
      </c>
      <c r="F35" s="35">
        <f>IF(C35="Monthly Rent Charge",$F$3,"")</f>
        <v/>
      </c>
      <c r="G35" s="41" t="n">
        <v>4500</v>
      </c>
      <c r="H35" s="39" t="inlineStr">
        <is>
          <t>TG74ZQPORC</t>
        </is>
      </c>
      <c r="I35" s="36">
        <f>IF(A35="","",IF(C35="Payment Received",I34-IFERROR(G35,0),IF(C35="Monthly Rent Charge",I34+IFERROR(E35,0)+IFERROR(F35,0),I34)))</f>
        <v/>
      </c>
      <c r="J35" s="37" t="n"/>
    </row>
    <row r="36" ht="15" customHeight="1" s="62">
      <c r="A36" s="54" t="n">
        <v>45870</v>
      </c>
      <c r="B36" s="33" t="inlineStr">
        <is>
          <t>August</t>
        </is>
      </c>
      <c r="C36" s="34" t="inlineStr">
        <is>
          <t>Monthly Rent Charge</t>
        </is>
      </c>
      <c r="D36" s="34" t="n"/>
      <c r="E36" s="35">
        <f>IF(C36="Monthly Rent Charge",$D$3,"")</f>
        <v/>
      </c>
      <c r="F36" s="35">
        <f>IF(C36="Monthly Rent Charge",$F$3,"")</f>
        <v/>
      </c>
      <c r="G36" s="41" t="n"/>
      <c r="H36" s="34" t="n"/>
      <c r="I36" s="36">
        <f>IF(A36="","",IF(C36="Payment Received",I35-IFERROR(G36,0),IF(C36="Monthly Rent Charge",I35+IFERROR(E36,0)+IFERROR(F36,0),I35)))</f>
        <v/>
      </c>
      <c r="J36" s="37" t="n"/>
    </row>
    <row r="37" ht="15" customHeight="1" s="62">
      <c r="A37" s="53" t="n">
        <v>45874</v>
      </c>
      <c r="B37" s="33" t="n"/>
      <c r="C37" s="34" t="inlineStr">
        <is>
          <t>Payment Received</t>
        </is>
      </c>
      <c r="D37" s="34" t="n"/>
      <c r="E37" s="35">
        <f>IF(C37="Monthly Rent Charge",$D$3,"")</f>
        <v/>
      </c>
      <c r="F37" s="35">
        <f>IF(C37="Monthly Rent Charge",$F$3,"")</f>
        <v/>
      </c>
      <c r="G37" s="41" t="n">
        <v>4500</v>
      </c>
      <c r="H37" s="39" t="inlineStr">
        <is>
          <t>TH503DKKO4</t>
        </is>
      </c>
      <c r="I37" s="36">
        <f>IF(A37="","",IF(C37="Payment Received",I36-IFERROR(G37,0),IF(C37="Monthly Rent Charge",I36+IFERROR(E37,0)+IFERROR(F37,0),I36)))</f>
        <v/>
      </c>
      <c r="J37" s="37" t="n"/>
    </row>
    <row r="38" ht="15" customHeight="1" s="62">
      <c r="A38" s="54" t="n">
        <v>45901</v>
      </c>
      <c r="B38" s="33" t="inlineStr">
        <is>
          <t>September</t>
        </is>
      </c>
      <c r="C38" s="34" t="inlineStr">
        <is>
          <t>Monthly Rent Charge</t>
        </is>
      </c>
      <c r="D38" s="34" t="n"/>
      <c r="E38" s="35">
        <f>IF(C38="Monthly Rent Charge",$D$3,"")</f>
        <v/>
      </c>
      <c r="F38" s="35">
        <f>IF(C38="Monthly Rent Charge",$F$3,"")</f>
        <v/>
      </c>
      <c r="G38" s="41" t="n"/>
      <c r="H38" s="34" t="n"/>
      <c r="I38" s="36">
        <f>IF(A38="","",IF(C38="Payment Received",I37-IFERROR(G38,0),IF(C38="Monthly Rent Charge",I37+IFERROR(E38,0)+IFERROR(F38,0),I37)))</f>
        <v/>
      </c>
      <c r="J38" s="37" t="n"/>
    </row>
    <row r="39" ht="15" customHeight="1" s="62">
      <c r="A39" s="53" t="n">
        <v>45906</v>
      </c>
      <c r="B39" s="33" t="n"/>
      <c r="C39" s="34" t="inlineStr">
        <is>
          <t>Payment Received</t>
        </is>
      </c>
      <c r="D39" s="34" t="n"/>
      <c r="E39" s="35">
        <f>IF(C39="Monthly Rent Charge",$D$3,"")</f>
        <v/>
      </c>
      <c r="F39" s="35">
        <f>IF(C39="Monthly Rent Charge",$F$3,"")</f>
        <v/>
      </c>
      <c r="G39" s="41" t="n">
        <v>4500</v>
      </c>
      <c r="H39" s="39" t="inlineStr">
        <is>
          <t>TI61MELPOJ</t>
        </is>
      </c>
      <c r="I39" s="36">
        <f>IF(A39="","",IF(C39="Payment Received",I38-IFERROR(G39,0),IF(C39="Monthly Rent Charge",I38+IFERROR(E39,0)+IFERROR(F39,0),I38)))</f>
        <v/>
      </c>
      <c r="J39" s="37" t="n"/>
    </row>
    <row r="40" ht="15" customHeight="1" s="62">
      <c r="A40" s="54" t="n">
        <v>45931</v>
      </c>
      <c r="B40" s="33" t="inlineStr">
        <is>
          <t>October</t>
        </is>
      </c>
      <c r="C40" s="34" t="inlineStr">
        <is>
          <t>Monthly Rent Charge</t>
        </is>
      </c>
      <c r="D40" s="34" t="n"/>
      <c r="E40" s="35">
        <f>IF(C40="Monthly Rent Charge",$D$3,"")</f>
        <v/>
      </c>
      <c r="F40" s="35">
        <f>IF(C40="Monthly Rent Charge",$F$3,"")</f>
        <v/>
      </c>
      <c r="G40" s="41" t="n"/>
      <c r="H40" s="34" t="n"/>
      <c r="I40" s="36">
        <f>IF(A40="","",IF(C40="Payment Received",I39-IFERROR(G40,0),IF(C40="Monthly Rent Charge",I39+IFERROR(E40,0)+IFERROR(F40,0),I39)))</f>
        <v/>
      </c>
      <c r="J40" s="37" t="n"/>
    </row>
    <row r="41" ht="15" customHeight="1" s="62">
      <c r="A41" s="53" t="n">
        <v>45935</v>
      </c>
      <c r="B41" s="33" t="n"/>
      <c r="C41" s="34" t="inlineStr">
        <is>
          <t>Payment Received</t>
        </is>
      </c>
      <c r="D41" s="34" t="n"/>
      <c r="E41" s="35">
        <f>IF(C41="Monthly Rent Charge",$D$3,"")</f>
        <v/>
      </c>
      <c r="F41" s="35">
        <f>IF(C41="Monthly Rent Charge",$F$3,"")</f>
        <v/>
      </c>
      <c r="G41" s="41" t="n">
        <v>4500</v>
      </c>
      <c r="H41" s="39" t="inlineStr">
        <is>
          <t>TJ55A6NB9I</t>
        </is>
      </c>
      <c r="I41" s="36">
        <f>IF(A41="","",IF(C41="Payment Received",I40-IFERROR(G41,0),IF(C41="Monthly Rent Charge",I40+IFERROR(E41,0)+IFERROR(F41,0),I40)))</f>
        <v/>
      </c>
      <c r="J41" s="37" t="n"/>
    </row>
    <row r="42" ht="15" customHeight="1" s="62">
      <c r="A42" s="54" t="n">
        <v>45962</v>
      </c>
      <c r="B42" s="33" t="inlineStr">
        <is>
          <t>November</t>
        </is>
      </c>
      <c r="C42" s="34" t="inlineStr">
        <is>
          <t>Monthly Rent Charge</t>
        </is>
      </c>
      <c r="D42" s="34" t="n"/>
      <c r="E42" s="35">
        <f>IF(C42="Monthly Rent Charge",$D$3,"")</f>
        <v/>
      </c>
      <c r="F42" s="35">
        <f>IF(C42="Monthly Rent Charge",$F$3,"")</f>
        <v/>
      </c>
      <c r="G42" s="41" t="n"/>
      <c r="H42" s="34" t="n"/>
      <c r="I42" s="36">
        <f>IF(A42="","",IF(C42="Payment Received",I41-IFERROR(G42,0),IF(C42="Monthly Rent Charge",I41+IFERROR(E42,0)+IFERROR(F42,0),I41)))</f>
        <v/>
      </c>
      <c r="J42" s="37" t="n"/>
    </row>
    <row r="43" ht="15" customHeight="1" s="62">
      <c r="A43" s="53" t="n">
        <v>45967</v>
      </c>
      <c r="B43" s="33" t="n"/>
      <c r="C43" s="34" t="inlineStr">
        <is>
          <t>Payment Received</t>
        </is>
      </c>
      <c r="D43" s="34" t="n"/>
      <c r="E43" s="35">
        <f>IF(C43="Monthly Rent Charge",$D$3,"")</f>
        <v/>
      </c>
      <c r="F43" s="35">
        <f>IF(C43="Monthly Rent Charge",$F$3,"")</f>
        <v/>
      </c>
      <c r="G43" s="41" t="n">
        <v>4500</v>
      </c>
      <c r="H43" s="39" t="inlineStr">
        <is>
          <t>TK65A9JNEM</t>
        </is>
      </c>
      <c r="I43" s="36">
        <f>IF(A43="","",IF(C43="Payment Received",I42-IFERROR(G43,0),IF(C43="Monthly Rent Charge",I42+IFERROR(E43,0)+IFERROR(F43,0),I42)))</f>
        <v/>
      </c>
      <c r="J43" s="37" t="n"/>
    </row>
    <row r="44" ht="15" customHeight="1" s="62">
      <c r="A44" s="54" t="n">
        <v>45992</v>
      </c>
      <c r="B44" s="33" t="inlineStr">
        <is>
          <t>December</t>
        </is>
      </c>
      <c r="C44" s="34" t="inlineStr">
        <is>
          <t>Monthly Rent Charge</t>
        </is>
      </c>
      <c r="D44" s="34" t="n"/>
      <c r="E44" s="35">
        <f>IF(C44="Monthly Rent Charge",$D$3,"")</f>
        <v/>
      </c>
      <c r="F44" s="35">
        <f>IF(C44="Monthly Rent Charge",$F$3,"")</f>
        <v/>
      </c>
      <c r="G44" s="41" t="n"/>
      <c r="H44" s="34" t="n"/>
      <c r="I44" s="36">
        <f>IF(A44="","",IF(C44="Payment Received",I43-IFERROR(G44,0),IF(C44="Monthly Rent Charge",I43+IFERROR(E44,0)+IFERROR(F44,0),I43)))</f>
        <v/>
      </c>
      <c r="J44" s="37" t="n"/>
    </row>
    <row r="45" ht="15" customHeight="1" s="62">
      <c r="A45" s="53" t="n">
        <v>46000</v>
      </c>
      <c r="B45" s="33" t="n"/>
      <c r="C45" s="34" t="inlineStr">
        <is>
          <t>Payment Received</t>
        </is>
      </c>
      <c r="D45" s="34" t="n"/>
      <c r="E45" s="35">
        <f>IF(C45="Monthly Rent Charge",$D$3,"")</f>
        <v/>
      </c>
      <c r="F45" s="35">
        <f>IF(C45="Monthly Rent Charge",$F$3,"")</f>
        <v/>
      </c>
      <c r="G45" s="41" t="n">
        <v>3000</v>
      </c>
      <c r="H45" s="39" t="inlineStr">
        <is>
          <t>TL95A0N451</t>
        </is>
      </c>
      <c r="I45" s="36">
        <f>IF(A45="","",IF(C45="Payment Received",I44-IFERROR(G45,0),IF(C45="Monthly Rent Charge",I44+IFERROR(E45,0)+IFERROR(F45,0),I44)))</f>
        <v/>
      </c>
      <c r="J45" s="37" t="n"/>
    </row>
    <row r="46" ht="15" customHeight="1" s="62">
      <c r="A46" s="54" t="n">
        <v>46023</v>
      </c>
      <c r="B46" s="33" t="inlineStr">
        <is>
          <t>January</t>
        </is>
      </c>
      <c r="C46" s="34" t="inlineStr">
        <is>
          <t>Monthly Rent Charge</t>
        </is>
      </c>
      <c r="D46" s="34" t="n"/>
      <c r="E46" s="35">
        <f>IF(C46="Monthly Rent Charge",$D$3,"")</f>
        <v/>
      </c>
      <c r="F46" s="35">
        <f>IF(C46="Monthly Rent Charge",$F$3,"")</f>
        <v/>
      </c>
      <c r="G46" s="41" t="n"/>
      <c r="H46" s="34" t="n"/>
      <c r="I46" s="36">
        <f>IF(A46="","",IF(C46="Payment Received",I45-IFERROR(G46,0),IF(C46="Monthly Rent Charge",I45+IFERROR(E46,0)+IFERROR(F46,0),I45)))</f>
        <v/>
      </c>
      <c r="J46" s="37" t="n"/>
    </row>
    <row r="47" ht="15" customHeight="1" s="62">
      <c r="A47" s="53" t="n">
        <v>46029</v>
      </c>
      <c r="B47" s="33" t="n"/>
      <c r="C47" s="34" t="inlineStr">
        <is>
          <t>Payment Received</t>
        </is>
      </c>
      <c r="D47" s="34" t="n"/>
      <c r="E47" s="35">
        <f>IF(C47="Monthly Rent Charge",$D$3,"")</f>
        <v/>
      </c>
      <c r="F47" s="35">
        <f>IF(C47="Monthly Rent Charge",$F$3,"")</f>
        <v/>
      </c>
      <c r="G47" s="41" t="n">
        <v>4500</v>
      </c>
      <c r="H47" s="39" t="inlineStr">
        <is>
          <t>UA75A3BV4U</t>
        </is>
      </c>
      <c r="I47" s="36">
        <f>IF(A47="","",IF(C47="Payment Received",I46-IFERROR(G47,0),IF(C47="Monthly Rent Charge",I46+IFERROR(E47,0)+IFERROR(F47,0),I46)))</f>
        <v/>
      </c>
      <c r="J47" s="37" t="n"/>
    </row>
    <row r="48" ht="15" customHeight="1" s="62">
      <c r="A48" s="54" t="n">
        <v>46054</v>
      </c>
      <c r="B48" s="33" t="inlineStr">
        <is>
          <t>February</t>
        </is>
      </c>
      <c r="C48" s="34" t="inlineStr">
        <is>
          <t>Monthly Rent Charge</t>
        </is>
      </c>
      <c r="D48" s="34" t="n"/>
      <c r="E48" s="35">
        <f>IF(C48="Monthly Rent Charge",$D$3,"")</f>
        <v/>
      </c>
      <c r="F48" s="35">
        <f>IF(C48="Monthly Rent Charge",$F$3,"")</f>
        <v/>
      </c>
      <c r="G48" s="41" t="n"/>
      <c r="H48" s="34" t="n"/>
      <c r="I48" s="36">
        <f>IF(A48="","",IF(C48="Payment Received",I47-IFERROR(G48,0),IF(C48="Monthly Rent Charge",I47+IFERROR(E48,0)+IFERROR(F48,0),I47)))</f>
        <v/>
      </c>
      <c r="J48" s="37" t="n"/>
    </row>
    <row r="49" ht="15" customHeight="1" s="62">
      <c r="A49" s="53" t="n">
        <v>46060</v>
      </c>
      <c r="B49" s="33" t="n"/>
      <c r="C49" s="34" t="inlineStr">
        <is>
          <t>Payment Received</t>
        </is>
      </c>
      <c r="D49" s="34" t="n"/>
      <c r="E49" s="35">
        <f>IF(C49="Monthly Rent Charge",$D$3,"")</f>
        <v/>
      </c>
      <c r="F49" s="35">
        <f>IF(C49="Monthly Rent Charge",$F$3,"")</f>
        <v/>
      </c>
      <c r="G49" s="41" t="n">
        <v>4500</v>
      </c>
      <c r="H49" s="39" t="inlineStr">
        <is>
          <t>UB75A69STV</t>
        </is>
      </c>
      <c r="I49" s="36">
        <f>IF(A49="","",IF(C49="Payment Received",I48-IFERROR(G49,0),IF(C49="Monthly Rent Charge",I48+IFERROR(E49,0)+IFERROR(F49,0),I48)))</f>
        <v/>
      </c>
      <c r="J49" s="37" t="n"/>
    </row>
    <row r="50" ht="15" customHeight="1" s="62">
      <c r="A50" s="54" t="n">
        <v>46082</v>
      </c>
      <c r="B50" s="33" t="inlineStr">
        <is>
          <t>March</t>
        </is>
      </c>
      <c r="C50" s="34" t="inlineStr">
        <is>
          <t>Monthly Rent Charge</t>
        </is>
      </c>
      <c r="D50" s="34" t="n"/>
      <c r="E50" s="35">
        <f>IF(C50="Monthly Rent Charge",$D$3,"")</f>
        <v/>
      </c>
      <c r="F50" s="35">
        <f>IF(C50="Monthly Rent Charge",$F$3,"")</f>
        <v/>
      </c>
      <c r="G50" s="41" t="n"/>
      <c r="H50" s="34" t="n"/>
      <c r="I50" s="36">
        <f>IF(A50="","",IF(C50="Payment Received",I49-IFERROR(G50,0),IF(C50="Monthly Rent Charge",I49+IFERROR(E50,0)+IFERROR(F50,0),I49)))</f>
        <v/>
      </c>
      <c r="J50" s="37" t="n"/>
    </row>
    <row r="51" ht="15" customHeight="1" s="62">
      <c r="A51" s="53" t="n">
        <v>46088</v>
      </c>
      <c r="B51" s="33" t="n"/>
      <c r="C51" s="34" t="inlineStr">
        <is>
          <t>Payment Received</t>
        </is>
      </c>
      <c r="D51" s="34" t="n"/>
      <c r="E51" s="35">
        <f>IF(C51="Monthly Rent Charge",$D$3,"")</f>
        <v/>
      </c>
      <c r="F51" s="35">
        <f>IF(C51="Monthly Rent Charge",$F$3,"")</f>
        <v/>
      </c>
      <c r="G51" s="41" t="n">
        <v>6000</v>
      </c>
      <c r="H51" s="39" t="inlineStr">
        <is>
          <t>UC75A8Z2ZV</t>
        </is>
      </c>
      <c r="I51" s="36">
        <f>IF(A51="","",IF(C51="Payment Received",I50-IFERROR(G51,0),IF(C51="Monthly Rent Charge",I50+IFERROR(E51,0)+IFERROR(F51,0),I50)))</f>
        <v/>
      </c>
      <c r="J51" s="37" t="n"/>
    </row>
    <row r="52" ht="15" customHeight="1" s="62">
      <c r="A52" s="54" t="n">
        <v>46113</v>
      </c>
      <c r="B52" s="33" t="inlineStr">
        <is>
          <t>April</t>
        </is>
      </c>
      <c r="C52" s="34" t="inlineStr">
        <is>
          <t>Monthly Rent Charge</t>
        </is>
      </c>
      <c r="D52" s="34" t="n"/>
      <c r="E52" s="35">
        <f>IF(C52="Monthly Rent Charge",$D$3,"")</f>
        <v/>
      </c>
      <c r="F52" s="35">
        <f>IF(C52="Monthly Rent Charge",$F$3,"")</f>
        <v/>
      </c>
      <c r="G52" s="41" t="n"/>
      <c r="H52" s="34" t="n"/>
      <c r="I52" s="36">
        <f>IF(A52="","",IF(C52="Payment Received",I51-IFERROR(G52,0),IF(C52="Monthly Rent Charge",I51+IFERROR(E52,0)+IFERROR(F52,0),I51)))</f>
        <v/>
      </c>
      <c r="J52" s="37" t="n"/>
    </row>
    <row r="53" ht="15" customHeight="1" s="62">
      <c r="A53" s="53" t="n">
        <v>46118</v>
      </c>
      <c r="B53" s="33" t="n"/>
      <c r="C53" s="34" t="inlineStr">
        <is>
          <t>Payment Received</t>
        </is>
      </c>
      <c r="D53" s="34" t="n"/>
      <c r="E53" s="35">
        <f>IF(C53="Monthly Rent Charge",$D$3,"")</f>
        <v/>
      </c>
      <c r="F53" s="35">
        <f>IF(C53="Monthly Rent Charge",$F$3,"")</f>
        <v/>
      </c>
      <c r="G53" s="41" t="n">
        <v>4500</v>
      </c>
      <c r="H53" s="39" t="inlineStr">
        <is>
          <t>UD65A0771S</t>
        </is>
      </c>
      <c r="I53" s="36">
        <f>IF(A53="","",IF(C53="Payment Received",I52-IFERROR(G53,0),IF(C53="Monthly Rent Charge",I52+IFERROR(E53,0)+IFERROR(F53,0),I52)))</f>
        <v/>
      </c>
      <c r="J53" s="37" t="n"/>
    </row>
    <row r="54" ht="15" customHeight="1" s="62">
      <c r="A54" s="54">
        <f>IF(B54="","",DATE(YEAR(TODAY()),MATCH(B54,{"January","February","March","April","May","June","July","August","September","October","November","December"},0),1))</f>
        <v/>
      </c>
      <c r="B54" s="33" t="inlineStr">
        <is>
          <t>May</t>
        </is>
      </c>
      <c r="C54" s="34">
        <f>IF(B54="","","Monthly Rent Charge")</f>
        <v/>
      </c>
      <c r="D54" s="34" t="n"/>
      <c r="E54" s="35">
        <f>IF(C54="Monthly Rent Charge",$D$3,"")</f>
        <v/>
      </c>
      <c r="F54" s="35">
        <f>IF(C54="Monthly Rent Charge",$F$3,"")</f>
        <v/>
      </c>
      <c r="G54" s="41" t="n"/>
      <c r="H54" s="34" t="n"/>
      <c r="I54" s="36">
        <f>IF(A54="","",IF(C54="Payment Received",I53-IFERROR(G54,0),IF(C54="Monthly Rent Charge",I53+IFERROR(E54,0)+IFERROR(F54,0),I53)))</f>
        <v/>
      </c>
      <c r="J54" s="37" t="n"/>
    </row>
    <row r="55" ht="15" customHeight="1" s="62">
      <c r="A55" s="53" t="n">
        <v>46145</v>
      </c>
      <c r="B55" s="33" t="n"/>
      <c r="C55" s="34" t="inlineStr">
        <is>
          <t>Payment Received</t>
        </is>
      </c>
      <c r="D55" s="34" t="n"/>
      <c r="E55" s="35">
        <f>IF(C55="Monthly Rent Charge",$D$3,"")</f>
        <v/>
      </c>
      <c r="F55" s="35">
        <f>IF(C55="Monthly Rent Charge",$F$3,"")</f>
        <v/>
      </c>
      <c r="G55" s="41" t="n">
        <v>4500</v>
      </c>
      <c r="H55" s="39" t="inlineStr">
        <is>
          <t>UE35A3DTAF</t>
        </is>
      </c>
      <c r="I55" s="36">
        <f>IF(A55="","",IF(C55="Payment Received",I54-IFERROR(G55,0),IF(C55="Monthly Rent Charge",I54+IFERROR(E55,0)+IFERROR(F55,0),I54)))</f>
        <v/>
      </c>
      <c r="J55" s="37" t="n"/>
    </row>
    <row r="56" ht="15" customHeight="1" s="62">
      <c r="A56" s="54">
        <f>IF(B56="","",DATE(YEAR(TODAY()),MATCH(B56,{"January","February","March","April","May","June","July","August","September","October","November","December"},0),1))</f>
        <v/>
      </c>
      <c r="B56" s="33" t="inlineStr">
        <is>
          <t>June</t>
        </is>
      </c>
      <c r="C56" s="34">
        <f>IF(B56="","","Monthly Rent Charge")</f>
        <v/>
      </c>
      <c r="D56" s="34" t="n"/>
      <c r="E56" s="35">
        <f>IF(C56="Monthly Rent Charge",$D$3,"")</f>
        <v/>
      </c>
      <c r="F56" s="35">
        <f>IF(C56="Monthly Rent Charge",$F$3,"")</f>
        <v/>
      </c>
      <c r="G56" s="41" t="n"/>
      <c r="H56" s="34" t="n"/>
      <c r="I56" s="36">
        <f>IF(AND(A56="",C56=""),"",IF(C56="Payment Received",I55-IFERROR(G56,0),IF(C56="Monthly Rent Charge",I55+IFERROR(E56,0)+IFERROR(F56,0),I55)))</f>
        <v/>
      </c>
      <c r="J56" s="37" t="n"/>
    </row>
    <row r="57" ht="15" customHeight="1" s="62">
      <c r="A57" s="54" t="n">
        <v>46180</v>
      </c>
      <c r="B57" s="33" t="n"/>
      <c r="C57" s="34" t="inlineStr">
        <is>
          <t>Payment Received</t>
        </is>
      </c>
      <c r="D57" s="34" t="n"/>
      <c r="E57" s="35">
        <f>IF(C57="Monthly Rent Charge",$D$3,"")</f>
        <v/>
      </c>
      <c r="F57" s="35">
        <f>IF(C57="Monthly Rent Charge",$F$3,"")</f>
        <v/>
      </c>
      <c r="G57" s="41" t="n">
        <v>4500</v>
      </c>
      <c r="H57" s="34" t="inlineStr">
        <is>
          <t>UF75A7H5IT</t>
        </is>
      </c>
      <c r="I57" s="36">
        <f>IF(AND(A57="",C57=""),"",IF(C57="Payment Received",I56-IFERROR(G57,0),IF(C57="Monthly Rent Charge",I56+IFERROR(E57,0)+IFERROR(F57,0),I56)))</f>
        <v/>
      </c>
      <c r="J57" s="37" t="n"/>
    </row>
    <row r="58" ht="15" customHeight="1" s="62">
      <c r="A58" s="54">
        <f>IF(B58="","",DATE(YEAR(TODAY()),MATCH(B58,{"January","February","March","April","May","June","July","August","September","October","November","December"},0),1))</f>
        <v/>
      </c>
      <c r="B58" s="33" t="inlineStr">
        <is>
          <t>July</t>
        </is>
      </c>
      <c r="C58" s="34">
        <f>IF(B58="","","Monthly Rent Charge")</f>
        <v/>
      </c>
      <c r="D58" s="34" t="n"/>
      <c r="E58" s="35">
        <f>IF(C58="Monthly Rent Charge",$D$3,"")</f>
        <v/>
      </c>
      <c r="F58" s="35">
        <f>IF(C58="Monthly Rent Charge",$F$3,"")</f>
        <v/>
      </c>
      <c r="G58" s="41" t="n"/>
      <c r="H58" s="34" t="n"/>
      <c r="I58" s="36">
        <f>IF(AND(A58="",C58=""),"",IF(C58="Payment Received",I57-IFERROR(G58,0),IF(C58="Monthly Rent Charge",I57+IFERROR(E58,0)+IFERROR(F58,0),I57)))</f>
        <v/>
      </c>
      <c r="J58" s="37" t="n"/>
    </row>
    <row r="59" ht="15" customHeight="1" s="62">
      <c r="A59" s="54" t="n">
        <v>46209</v>
      </c>
      <c r="B59" s="33" t="n"/>
      <c r="C59" s="34" t="inlineStr">
        <is>
          <t>Payment Received</t>
        </is>
      </c>
      <c r="D59" s="34" t="n"/>
      <c r="E59" s="35">
        <f>IF(C59="Monthly Rent Charge",$D$3,"")</f>
        <v/>
      </c>
      <c r="F59" s="35">
        <f>IF(C59="Monthly Rent Charge",$F$3,"")</f>
        <v/>
      </c>
      <c r="G59" s="41" t="n">
        <v>4500</v>
      </c>
      <c r="H59" s="34" t="inlineStr">
        <is>
          <t>UG65AATKKN4</t>
        </is>
      </c>
      <c r="I59" s="36">
        <f>IF(AND(A59="",C59=""),"",IF(C59="Payment Received",I58-IFERROR(G59,0),IF(C59="Monthly Rent Charge",I58+IFERROR(E59,0)+IFERROR(F59,0),I58)))</f>
        <v/>
      </c>
      <c r="J59" s="37" t="n"/>
    </row>
    <row r="60" ht="15" customHeight="1" s="62">
      <c r="A60" s="54">
        <f>IF(B60="","",DATE(YEAR(TODAY()),MATCH(B60,{"January","February","March","April","May","June","July","August","September","October","November","December"},0),1))</f>
        <v/>
      </c>
      <c r="B60" s="33" t="inlineStr">
        <is>
          <t>August</t>
        </is>
      </c>
      <c r="C60" s="34">
        <f>IF(B60="","","Monthly Rent Charge")</f>
        <v/>
      </c>
      <c r="D60" s="34" t="n"/>
      <c r="E60" s="35">
        <f>IF(C60="Monthly Rent Charge",$D$3,"")</f>
        <v/>
      </c>
      <c r="F60" s="35">
        <f>IF(C60="Monthly Rent Charge",$F$3,"")</f>
        <v/>
      </c>
      <c r="G60" s="41" t="n"/>
      <c r="H60" s="34" t="n"/>
      <c r="I60" s="36">
        <f>IF(AND(A60="",C60=""),"",IF(C60="Payment Received",I59-IFERROR(G60,0),IF(C60="Monthly Rent Charge",I59+IFERROR(E60,0)+IFERROR(F60,0),I59)))</f>
        <v/>
      </c>
      <c r="J60" s="37" t="n"/>
    </row>
    <row r="61" ht="15" customHeight="1" s="62">
      <c r="A61" s="54" t="n">
        <v>46237</v>
      </c>
      <c r="B61" s="33" t="n"/>
      <c r="C61" s="34" t="inlineStr">
        <is>
          <t>Payment Received</t>
        </is>
      </c>
      <c r="D61" s="34" t="n"/>
      <c r="E61" s="35">
        <f>IF(C61="Monthly Rent Charge",$D$3,"")</f>
        <v/>
      </c>
      <c r="F61" s="35">
        <f>IF(C61="Monthly Rent Charge",$F$3,"")</f>
        <v/>
      </c>
      <c r="G61" s="41" t="n">
        <v>4500</v>
      </c>
      <c r="H61" s="34" t="inlineStr">
        <is>
          <t>UH35A27V6D</t>
        </is>
      </c>
      <c r="I61" s="36">
        <f>IF(AND(A61="",C61=""),"",IF(C61="Payment Received",I60-IFERROR(G61,0),IF(C61="Monthly Rent Charge",I60+IFERROR(E61,0)+IFERROR(F61,0),IFERROR(I60,0))))</f>
        <v/>
      </c>
      <c r="J61" s="37" t="n"/>
    </row>
    <row r="62" ht="15" customHeight="1" s="62">
      <c r="A62" s="54" t="n"/>
      <c r="B62" s="33" t="n"/>
      <c r="C62" s="34">
        <f>IF(B62="","","Monthly Rent Charge")</f>
        <v/>
      </c>
      <c r="D62" s="34" t="n"/>
      <c r="E62" s="35">
        <f>IF(C62="Monthly Rent Charge",$D$3,"")</f>
        <v/>
      </c>
      <c r="F62" s="35">
        <f>IF(C62="Monthly Rent Charge",$F$3,"")</f>
        <v/>
      </c>
      <c r="G62" s="41" t="n"/>
      <c r="H62" s="34" t="n"/>
      <c r="I62" s="36">
        <f>IF(AND(A62="",C62=""),"",IF(C62="Payment Received",I61-IFERROR(G62,0),IF(C62="Monthly Rent Charge",I61+IFERROR(E62,0)+IFERROR(F62,0),IFERROR(I61,0))))</f>
        <v/>
      </c>
      <c r="J62" s="37" t="n"/>
    </row>
    <row r="63" ht="15" customHeight="1" s="62">
      <c r="A63" s="54">
        <f>IF(B63="","",DATE(YEAR(TODAY()),MATCH(B63,{"January","February","March","April","May","June","July","August","September","October","November","December"},0),1))</f>
        <v/>
      </c>
      <c r="B63" s="33" t="n"/>
      <c r="C63" s="34">
        <f>IF(B63="","","Monthly Rent Charge")</f>
        <v/>
      </c>
      <c r="D63" s="34" t="n"/>
      <c r="E63" s="35">
        <f>IF(C63="Monthly Rent Charge",$D$3,"")</f>
        <v/>
      </c>
      <c r="F63" s="35">
        <f>IF(C63="Monthly Rent Charge",$F$3,"")</f>
        <v/>
      </c>
      <c r="G63" s="41" t="n"/>
      <c r="H63" s="34" t="n"/>
      <c r="I63" s="36">
        <f>IF(AND(A63="",C63=""),"",IF(C63="Payment Received",I62-IFERROR(G63,0),IF(C63="Monthly Rent Charge",I62+IFERROR(E63,0)+IFERROR(F63,0),IFERROR(I62,0))))</f>
        <v/>
      </c>
      <c r="J63" s="37" t="n"/>
    </row>
    <row r="64" ht="15" customHeight="1" s="62">
      <c r="A64" s="54">
        <f>IF(B64="","",DATE(YEAR(TODAY()),MATCH(B64,{"January","February","March","April","May","June","July","August","September","October","November","December"},0),1))</f>
        <v/>
      </c>
      <c r="B64" s="33" t="n"/>
      <c r="C64" s="34">
        <f>IF(B64="","","Monthly Rent Charge")</f>
        <v/>
      </c>
      <c r="D64" s="34" t="n"/>
      <c r="E64" s="35">
        <f>IF(C64="Monthly Rent Charge",$D$3,"")</f>
        <v/>
      </c>
      <c r="F64" s="35">
        <f>IF(C64="Monthly Rent Charge",$F$3,"")</f>
        <v/>
      </c>
      <c r="G64" s="41" t="n"/>
      <c r="H64" s="34" t="n"/>
      <c r="I64" s="36">
        <f>IF(AND(A64="",C64=""),"",IF(C64="Payment Received",I63-IFERROR(G64,0),IF(C64="Monthly Rent Charge",I63+IFERROR(E64,0)+IFERROR(F64,0),IFERROR(I63,0))))</f>
        <v/>
      </c>
      <c r="J64" s="37" t="n"/>
    </row>
    <row r="65" ht="15" customHeight="1" s="62">
      <c r="A65" s="54">
        <f>IF(B65="","",DATE(YEAR(TODAY()),MATCH(B65,{"January","February","March","April","May","June","July","August","September","October","November","December"},0),1))</f>
        <v/>
      </c>
      <c r="B65" s="33" t="n"/>
      <c r="C65" s="34">
        <f>IF(B65="","","Monthly Rent Charge")</f>
        <v/>
      </c>
      <c r="D65" s="34" t="n"/>
      <c r="E65" s="35">
        <f>IF(C65="Monthly Rent Charge",$D$3,"")</f>
        <v/>
      </c>
      <c r="F65" s="35">
        <f>IF(C65="Monthly Rent Charge",$F$3,"")</f>
        <v/>
      </c>
      <c r="G65" s="41" t="n"/>
      <c r="H65" s="34" t="n"/>
      <c r="I65" s="36">
        <f>IF(AND(A65="",C65=""),"",IF(C65="Payment Received",I64-IFERROR(G65,0),IF(C65="Monthly Rent Charge",I64+IFERROR(E65,0)+IFERROR(F65,0),IFERROR(I64,0))))</f>
        <v/>
      </c>
      <c r="J65" s="37" t="n"/>
    </row>
    <row r="66" ht="15" customHeight="1" s="62">
      <c r="A66" s="54">
        <f>IF(B66="","",DATE(YEAR(TODAY()),MATCH(B66,{"January","February","March","April","May","June","July","August","September","October","November","December"},0),1))</f>
        <v/>
      </c>
      <c r="B66" s="33" t="n"/>
      <c r="C66" s="34">
        <f>IF(B66="","","Monthly Rent Charge")</f>
        <v/>
      </c>
      <c r="D66" s="34" t="n"/>
      <c r="E66" s="35">
        <f>IF(C66="Monthly Rent Charge",$D$3,"")</f>
        <v/>
      </c>
      <c r="F66" s="35">
        <f>IF(C66="Monthly Rent Charge",$F$3,"")</f>
        <v/>
      </c>
      <c r="G66" s="41" t="n"/>
      <c r="H66" s="34" t="n"/>
      <c r="I66" s="36">
        <f>IF(AND(A66="",C66=""),"",IF(C66="Payment Received",I65-IFERROR(G66,0),IF(C66="Monthly Rent Charge",I65+IFERROR(E66,0)+IFERROR(F66,0),IFERROR(I65,0))))</f>
        <v/>
      </c>
      <c r="J66" s="37" t="n"/>
    </row>
    <row r="67" ht="15" customHeight="1" s="62">
      <c r="A67" s="54">
        <f>IF(B67="","",DATE(YEAR(TODAY()),MATCH(B67,{"January","February","March","April","May","June","July","August","September","October","November","December"},0),1))</f>
        <v/>
      </c>
      <c r="B67" s="33" t="n"/>
      <c r="C67" s="34">
        <f>IF(B67="","","Monthly Rent Charge")</f>
        <v/>
      </c>
      <c r="D67" s="34" t="n"/>
      <c r="E67" s="35">
        <f>IF(C67="Monthly Rent Charge",$D$3,"")</f>
        <v/>
      </c>
      <c r="F67" s="35">
        <f>IF(C67="Monthly Rent Charge",$F$3,"")</f>
        <v/>
      </c>
      <c r="G67" s="41" t="n"/>
      <c r="H67" s="34" t="n"/>
      <c r="I67" s="36">
        <f>IF(AND(A67="",C67=""),"",IF(C67="Payment Received",I66-IFERROR(G67,0),IF(C67="Monthly Rent Charge",I66+IFERROR(E67,0)+IFERROR(F67,0),IFERROR(I66,0))))</f>
        <v/>
      </c>
      <c r="J67" s="37" t="n"/>
    </row>
    <row r="68" ht="15" customHeight="1" s="62">
      <c r="A68" s="54">
        <f>IF(B68="","",DATE(YEAR(TODAY()),MATCH(B68,{"January","February","March","April","May","June","July","August","September","October","November","December"},0),1))</f>
        <v/>
      </c>
      <c r="B68" s="33" t="n"/>
      <c r="C68" s="34">
        <f>IF(B68="","","Monthly Rent Charge")</f>
        <v/>
      </c>
      <c r="D68" s="34" t="n"/>
      <c r="E68" s="35">
        <f>IF(C68="Monthly Rent Charge",$D$3,"")</f>
        <v/>
      </c>
      <c r="F68" s="35">
        <f>IF(C68="Monthly Rent Charge",$F$3,"")</f>
        <v/>
      </c>
      <c r="G68" s="41" t="n"/>
      <c r="H68" s="34" t="n"/>
      <c r="I68" s="36">
        <f>IF(AND(A68="",C68=""),"",IF(C68="Payment Received",I67-IFERROR(G68,0),IF(C68="Monthly Rent Charge",I67+IFERROR(E68,0)+IFERROR(F68,0),IFERROR(I67,0))))</f>
        <v/>
      </c>
      <c r="J68" s="37" t="n"/>
    </row>
    <row r="69" ht="15" customHeight="1" s="62">
      <c r="A69" s="54">
        <f>IF(B69="","",DATE(YEAR(TODAY()),MATCH(B69,{"January","February","March","April","May","June","July","August","September","October","November","December"},0),1))</f>
        <v/>
      </c>
      <c r="B69" s="33" t="n"/>
      <c r="C69" s="34">
        <f>IF(B69="","","Monthly Rent Charge")</f>
        <v/>
      </c>
      <c r="D69" s="34" t="n"/>
      <c r="E69" s="35">
        <f>IF(C69="Monthly Rent Charge",$D$3,"")</f>
        <v/>
      </c>
      <c r="F69" s="35">
        <f>IF(C69="Monthly Rent Charge",$F$3,"")</f>
        <v/>
      </c>
      <c r="G69" s="41" t="n"/>
      <c r="H69" s="34" t="n"/>
      <c r="I69" s="36">
        <f>IF(AND(A69="",C69=""),"",IF(C69="Payment Received",I68-IFERROR(G69,0),IF(C69="Monthly Rent Charge",I68+IFERROR(E69,0)+IFERROR(F69,0),IFERROR(I68,0))))</f>
        <v/>
      </c>
      <c r="J69" s="37" t="n"/>
    </row>
    <row r="70" ht="15" customHeight="1" s="62">
      <c r="A70" s="54">
        <f>IF(B70="","",DATE(YEAR(TODAY()),MATCH(B70,{"January","February","March","April","May","June","July","August","September","October","November","December"},0),1))</f>
        <v/>
      </c>
      <c r="B70" s="33" t="n"/>
      <c r="C70" s="34">
        <f>IF(B70="","","Monthly Rent Charge")</f>
        <v/>
      </c>
      <c r="D70" s="34" t="n"/>
      <c r="E70" s="35">
        <f>IF(C70="Monthly Rent Charge",$D$3,"")</f>
        <v/>
      </c>
      <c r="F70" s="35">
        <f>IF(C70="Monthly Rent Charge",$F$3,"")</f>
        <v/>
      </c>
      <c r="G70" s="41" t="n"/>
      <c r="H70" s="34" t="n"/>
      <c r="I70" s="36">
        <f>IF(AND(A70="",C70=""),"",IF(C70="Payment Received",I69-IFERROR(G70,0),IF(C70="Monthly Rent Charge",I69+IFERROR(E70,0)+IFERROR(F70,0),IFERROR(I69,0))))</f>
        <v/>
      </c>
      <c r="J70" s="37" t="n"/>
    </row>
    <row r="71" ht="15" customHeight="1" s="62">
      <c r="A71" s="54">
        <f>IF(B71="","",DATE(YEAR(TODAY()),MATCH(B71,{"January","February","March","April","May","June","July","August","September","October","November","December"},0),1))</f>
        <v/>
      </c>
      <c r="B71" s="33" t="n"/>
      <c r="C71" s="34">
        <f>IF(B71="","","Monthly Rent Charge")</f>
        <v/>
      </c>
      <c r="D71" s="34" t="n"/>
      <c r="E71" s="35">
        <f>IF(C71="Monthly Rent Charge",$D$3,"")</f>
        <v/>
      </c>
      <c r="F71" s="35">
        <f>IF(C71="Monthly Rent Charge",$F$3,"")</f>
        <v/>
      </c>
      <c r="G71" s="41" t="n"/>
      <c r="H71" s="34" t="n"/>
      <c r="I71" s="36">
        <f>IF(AND(A71="",C71=""),"",IF(C71="Payment Received",I70-IFERROR(G71,0),IF(C71="Monthly Rent Charge",I70+IFERROR(E71,0)+IFERROR(F71,0),IFERROR(I70,0))))</f>
        <v/>
      </c>
      <c r="J71" s="37" t="n"/>
    </row>
    <row r="72" ht="15" customHeight="1" s="62">
      <c r="A72" s="54">
        <f>IF(B72="","",DATE(YEAR(TODAY()),MATCH(B72,{"January","February","March","April","May","June","July","August","September","October","November","December"},0),1))</f>
        <v/>
      </c>
      <c r="B72" s="33" t="n"/>
      <c r="C72" s="34">
        <f>IF(B72="","","Monthly Rent Charge")</f>
        <v/>
      </c>
      <c r="D72" s="34" t="n"/>
      <c r="E72" s="35">
        <f>IF(C72="Monthly Rent Charge",$D$3,"")</f>
        <v/>
      </c>
      <c r="F72" s="35">
        <f>IF(C72="Monthly Rent Charge",$F$3,"")</f>
        <v/>
      </c>
      <c r="G72" s="41" t="n"/>
      <c r="H72" s="34" t="n"/>
      <c r="I72" s="36">
        <f>IF(AND(A72="",C72=""),"",IF(C72="Payment Received",I71-IFERROR(G72,0),IF(C72="Monthly Rent Charge",I71+IFERROR(E72,0)+IFERROR(F72,0),IFERROR(I71,0))))</f>
        <v/>
      </c>
      <c r="J72" s="37" t="n"/>
    </row>
    <row r="73" ht="15" customHeight="1" s="62">
      <c r="A73" s="54">
        <f>IF(B73="","",DATE(YEAR(TODAY()),MATCH(B73,{"January","February","March","April","May","June","July","August","September","October","November","December"},0),1))</f>
        <v/>
      </c>
      <c r="B73" s="33" t="n"/>
      <c r="C73" s="34">
        <f>IF(B73="","","Monthly Rent Charge")</f>
        <v/>
      </c>
      <c r="D73" s="34" t="n"/>
      <c r="E73" s="35">
        <f>IF(C73="Monthly Rent Charge",$D$3,"")</f>
        <v/>
      </c>
      <c r="F73" s="35">
        <f>IF(C73="Monthly Rent Charge",$F$3,"")</f>
        <v/>
      </c>
      <c r="G73" s="41" t="n"/>
      <c r="H73" s="34" t="n"/>
      <c r="I73" s="36">
        <f>IF(AND(A73="",C73=""),"",IF(C73="Payment Received",I72-IFERROR(G73,0),IF(C73="Monthly Rent Charge",I72+IFERROR(E73,0)+IFERROR(F73,0),IFERROR(I72,0))))</f>
        <v/>
      </c>
      <c r="J73" s="37" t="n"/>
    </row>
    <row r="74" ht="15" customHeight="1" s="62">
      <c r="A74" s="54">
        <f>IF(B74="","",DATE(YEAR(TODAY()),MATCH(B74,{"January","February","March","April","May","June","July","August","September","October","November","December"},0),1))</f>
        <v/>
      </c>
      <c r="B74" s="33" t="n"/>
      <c r="C74" s="34">
        <f>IF(B74="","","Monthly Rent Charge")</f>
        <v/>
      </c>
      <c r="D74" s="34" t="n"/>
      <c r="E74" s="35">
        <f>IF(C74="Monthly Rent Charge",$D$3,"")</f>
        <v/>
      </c>
      <c r="F74" s="35">
        <f>IF(C74="Monthly Rent Charge",$F$3,"")</f>
        <v/>
      </c>
      <c r="G74" s="41" t="n"/>
      <c r="H74" s="34" t="n"/>
      <c r="I74" s="36">
        <f>IF(AND(A74="",C74=""),"",IF(C74="Payment Received",I73-IFERROR(G74,0),IF(C74="Monthly Rent Charge",I73+IFERROR(E74,0)+IFERROR(F74,0),IFERROR(I73,0))))</f>
        <v/>
      </c>
      <c r="J74" s="37" t="n"/>
    </row>
    <row r="75" ht="15" customHeight="1" s="62">
      <c r="A75" s="54">
        <f>IF(B75="","",DATE(YEAR(TODAY()),MATCH(B75,{"January","February","March","April","May","June","July","August","September","October","November","December"},0),1))</f>
        <v/>
      </c>
      <c r="B75" s="33" t="n"/>
      <c r="C75" s="34">
        <f>IF(B75="","","Monthly Rent Charge")</f>
        <v/>
      </c>
      <c r="D75" s="34" t="n"/>
      <c r="E75" s="35">
        <f>IF(C75="Monthly Rent Charge",$D$3,"")</f>
        <v/>
      </c>
      <c r="F75" s="35">
        <f>IF(C75="Monthly Rent Charge",$F$3,"")</f>
        <v/>
      </c>
      <c r="G75" s="41" t="n"/>
      <c r="H75" s="34" t="n"/>
      <c r="I75" s="36">
        <f>IF(AND(A75="",C75=""),"",IF(C75="Payment Received",I74-IFERROR(G75,0),IF(C75="Monthly Rent Charge",I74+IFERROR(E75,0)+IFERROR(F75,0),IFERROR(I74,0))))</f>
        <v/>
      </c>
      <c r="J75" s="37" t="n"/>
    </row>
    <row r="76" ht="15" customHeight="1" s="62">
      <c r="A76" s="54" t="n"/>
      <c r="B76" s="33" t="n"/>
      <c r="C76" s="34" t="n"/>
      <c r="D76" s="34" t="n"/>
      <c r="E76" s="35" t="n"/>
      <c r="F76" s="35" t="n"/>
      <c r="G76" s="41" t="n"/>
      <c r="H76" s="34" t="n"/>
      <c r="I76" s="36" t="n"/>
      <c r="J76" s="37" t="n"/>
    </row>
    <row r="77" ht="15" customHeight="1" s="62">
      <c r="A77" s="54" t="n"/>
      <c r="B77" s="33" t="n"/>
      <c r="C77" s="34" t="n"/>
      <c r="D77" s="34" t="n"/>
      <c r="E77" s="35" t="n"/>
      <c r="F77" s="35" t="n"/>
      <c r="G77" s="41" t="n"/>
      <c r="H77" s="34" t="n"/>
      <c r="I77" s="36" t="n"/>
      <c r="J77" s="37" t="n"/>
    </row>
    <row r="78" ht="15" customHeight="1" s="62">
      <c r="A78" s="54" t="n"/>
      <c r="B78" s="33" t="n"/>
      <c r="C78" s="34" t="n"/>
      <c r="D78" s="34" t="n"/>
      <c r="E78" s="35" t="n"/>
      <c r="F78" s="35" t="n"/>
      <c r="G78" s="41" t="n"/>
      <c r="H78" s="34" t="n"/>
      <c r="I78" s="36" t="n"/>
      <c r="J78" s="37" t="n"/>
    </row>
    <row r="79" ht="15" customHeight="1" s="62">
      <c r="A79" s="54" t="n"/>
      <c r="B79" s="33" t="n"/>
      <c r="C79" s="34" t="n"/>
      <c r="D79" s="34" t="n"/>
      <c r="E79" s="35" t="n"/>
      <c r="F79" s="35" t="n"/>
      <c r="G79" s="41" t="n"/>
      <c r="H79" s="34" t="n"/>
      <c r="I79" s="36" t="n"/>
      <c r="J79" s="37" t="n"/>
    </row>
    <row r="80" ht="15" customHeight="1" s="62">
      <c r="A80" s="54" t="n"/>
      <c r="B80" s="33" t="n"/>
      <c r="C80" s="34" t="n"/>
      <c r="D80" s="34" t="n"/>
      <c r="E80" s="35" t="n"/>
      <c r="F80" s="35" t="n"/>
      <c r="G80" s="41" t="n"/>
      <c r="H80" s="34" t="n"/>
      <c r="I80" s="36" t="n"/>
      <c r="J80" s="37" t="n"/>
    </row>
    <row r="81" ht="15" customHeight="1" s="62">
      <c r="A81" s="54" t="n"/>
      <c r="B81" s="33" t="n"/>
      <c r="C81" s="34" t="n"/>
      <c r="D81" s="34" t="n"/>
      <c r="E81" s="35" t="n"/>
      <c r="F81" s="35" t="n"/>
      <c r="G81" s="41" t="n"/>
      <c r="H81" s="34" t="n"/>
      <c r="I81" s="36" t="n"/>
      <c r="J81" s="37" t="n"/>
    </row>
    <row r="82" ht="15" customHeight="1" s="62">
      <c r="A82" s="54" t="n"/>
      <c r="B82" s="33" t="n"/>
      <c r="C82" s="34" t="n"/>
      <c r="D82" s="34" t="n"/>
      <c r="E82" s="35" t="n"/>
      <c r="F82" s="35" t="n"/>
      <c r="G82" s="41" t="n"/>
      <c r="H82" s="34" t="n"/>
      <c r="I82" s="36" t="n"/>
      <c r="J82" s="37" t="n"/>
    </row>
    <row r="83" ht="15" customHeight="1" s="62">
      <c r="A83" s="54" t="n"/>
      <c r="B83" s="33" t="n"/>
      <c r="C83" s="34" t="n"/>
      <c r="D83" s="34" t="n"/>
      <c r="E83" s="35" t="n"/>
      <c r="F83" s="35" t="n"/>
      <c r="G83" s="41" t="n"/>
      <c r="H83" s="34" t="n"/>
      <c r="I83" s="36" t="n"/>
      <c r="J83" s="37" t="n"/>
    </row>
    <row r="84" ht="15" customHeight="1" s="62">
      <c r="A84" s="54" t="n"/>
      <c r="B84" s="33" t="n"/>
      <c r="C84" s="34" t="n"/>
      <c r="D84" s="34" t="n"/>
      <c r="E84" s="35" t="n"/>
      <c r="F84" s="35" t="n"/>
      <c r="G84" s="41" t="n"/>
      <c r="H84" s="34" t="n"/>
      <c r="I84" s="36" t="n"/>
      <c r="J84" s="37" t="n"/>
    </row>
    <row r="85" ht="15" customHeight="1" s="62">
      <c r="A85" s="54" t="n"/>
      <c r="B85" s="33" t="n"/>
      <c r="C85" s="34" t="n"/>
      <c r="D85" s="34" t="n"/>
      <c r="E85" s="35" t="n"/>
      <c r="F85" s="35" t="n"/>
      <c r="G85" s="41" t="n"/>
      <c r="H85" s="34" t="n"/>
      <c r="I85" s="36" t="n"/>
      <c r="J85" s="37" t="n"/>
    </row>
    <row r="86" ht="15" customHeight="1" s="62">
      <c r="A86" s="54" t="n"/>
      <c r="B86" s="33" t="n"/>
      <c r="C86" s="34" t="n"/>
      <c r="D86" s="34" t="n"/>
      <c r="E86" s="35" t="n"/>
      <c r="F86" s="35" t="n"/>
      <c r="G86" s="41" t="n"/>
      <c r="H86" s="34" t="n"/>
      <c r="I86" s="36" t="n"/>
      <c r="J86" s="37" t="n"/>
    </row>
    <row r="87" ht="15" customHeight="1" s="62">
      <c r="A87" s="54" t="n"/>
      <c r="B87" s="33" t="n"/>
      <c r="C87" s="34" t="n"/>
      <c r="D87" s="34" t="n"/>
      <c r="E87" s="35" t="n"/>
      <c r="F87" s="35" t="n"/>
      <c r="G87" s="41" t="n"/>
      <c r="H87" s="34" t="n"/>
      <c r="I87" s="36" t="n"/>
      <c r="J87" s="37" t="n"/>
    </row>
    <row r="88" ht="15" customHeight="1" s="62">
      <c r="A88" s="54" t="n"/>
      <c r="B88" s="33" t="n"/>
      <c r="C88" s="34" t="n"/>
      <c r="D88" s="34" t="n"/>
      <c r="E88" s="35" t="n"/>
      <c r="F88" s="35" t="n"/>
      <c r="G88" s="41" t="n"/>
      <c r="H88" s="34" t="n"/>
      <c r="I88" s="36" t="n"/>
      <c r="J88" s="37" t="n"/>
    </row>
    <row r="89" ht="15" customHeight="1" s="62">
      <c r="A89" s="54" t="n"/>
      <c r="B89" s="33" t="n"/>
      <c r="C89" s="34" t="n"/>
      <c r="D89" s="34" t="n"/>
      <c r="E89" s="35" t="n"/>
      <c r="F89" s="35" t="n"/>
      <c r="G89" s="41" t="n"/>
      <c r="H89" s="34" t="n"/>
      <c r="I89" s="36" t="n"/>
      <c r="J89" s="37" t="n"/>
    </row>
    <row r="90" ht="15" customHeight="1" s="62">
      <c r="A90" s="54" t="n"/>
      <c r="B90" s="33" t="n"/>
      <c r="C90" s="34" t="n"/>
      <c r="D90" s="34" t="n"/>
      <c r="E90" s="35" t="n"/>
      <c r="F90" s="35" t="n"/>
      <c r="G90" s="41" t="n"/>
      <c r="H90" s="34" t="n"/>
      <c r="I90" s="36" t="n"/>
      <c r="J90" s="37" t="n"/>
    </row>
    <row r="91" ht="15" customHeight="1" s="62">
      <c r="A91" s="54" t="n"/>
      <c r="B91" s="33" t="n"/>
      <c r="C91" s="34" t="n"/>
      <c r="D91" s="34" t="n"/>
      <c r="E91" s="35" t="n"/>
      <c r="F91" s="35" t="n"/>
      <c r="G91" s="41" t="n"/>
      <c r="H91" s="34" t="n"/>
      <c r="I91" s="36" t="n"/>
      <c r="J91" s="37" t="n"/>
    </row>
    <row r="92" ht="15" customHeight="1" s="62">
      <c r="A92" s="54" t="n"/>
      <c r="B92" s="33" t="n"/>
      <c r="C92" s="34" t="n"/>
      <c r="D92" s="34" t="n"/>
      <c r="E92" s="35" t="n"/>
      <c r="F92" s="35" t="n"/>
      <c r="G92" s="41" t="n"/>
      <c r="H92" s="34" t="n"/>
      <c r="I92" s="36" t="n"/>
      <c r="J92" s="37" t="n"/>
    </row>
    <row r="93" ht="15" customHeight="1" s="62">
      <c r="A93" s="54" t="n"/>
      <c r="B93" s="33" t="n"/>
      <c r="C93" s="34" t="n"/>
      <c r="D93" s="34" t="n"/>
      <c r="E93" s="35" t="n"/>
      <c r="F93" s="35" t="n"/>
      <c r="G93" s="41" t="n"/>
      <c r="H93" s="34" t="n"/>
      <c r="I93" s="36" t="n"/>
      <c r="J93" s="37" t="n"/>
    </row>
    <row r="94" ht="15" customHeight="1" s="62">
      <c r="A94" s="54" t="n"/>
      <c r="B94" s="33" t="n"/>
      <c r="C94" s="34" t="n"/>
      <c r="D94" s="34" t="n"/>
      <c r="E94" s="35" t="n"/>
      <c r="F94" s="35" t="n"/>
      <c r="G94" s="41" t="n"/>
      <c r="H94" s="34" t="n"/>
      <c r="I94" s="36" t="n"/>
      <c r="J94" s="37" t="n"/>
    </row>
    <row r="95" ht="15" customHeight="1" s="62">
      <c r="A95" s="54" t="n"/>
      <c r="B95" s="33" t="n"/>
      <c r="C95" s="34" t="n"/>
      <c r="D95" s="34" t="n"/>
      <c r="E95" s="35" t="n"/>
      <c r="F95" s="35" t="n"/>
      <c r="G95" s="41" t="n"/>
      <c r="H95" s="34" t="n"/>
      <c r="I95" s="36" t="n"/>
      <c r="J95" s="37" t="n"/>
    </row>
    <row r="96" ht="15" customHeight="1" s="62">
      <c r="A96" s="54" t="n"/>
      <c r="B96" s="33" t="n"/>
      <c r="C96" s="34" t="n"/>
      <c r="D96" s="34" t="n"/>
      <c r="E96" s="35" t="n"/>
      <c r="F96" s="35" t="n"/>
      <c r="G96" s="41" t="n"/>
      <c r="H96" s="34" t="n"/>
      <c r="I96" s="36" t="n"/>
      <c r="J96" s="37" t="n"/>
    </row>
    <row r="97" ht="15" customHeight="1" s="62">
      <c r="A97" s="54" t="n"/>
      <c r="B97" s="33" t="n"/>
      <c r="C97" s="34" t="n"/>
      <c r="D97" s="34" t="n"/>
      <c r="E97" s="35" t="n"/>
      <c r="F97" s="35" t="n"/>
      <c r="G97" s="41" t="n"/>
      <c r="H97" s="34" t="n"/>
      <c r="I97" s="36" t="n"/>
      <c r="J97" s="37" t="n"/>
    </row>
    <row r="98" ht="15" customHeight="1" s="62">
      <c r="A98" s="54" t="n"/>
      <c r="B98" s="33" t="n"/>
      <c r="C98" s="34" t="n"/>
      <c r="D98" s="34" t="n"/>
      <c r="E98" s="35" t="n"/>
      <c r="F98" s="35" t="n"/>
      <c r="G98" s="41" t="n"/>
      <c r="H98" s="34" t="n"/>
      <c r="I98" s="36" t="n"/>
      <c r="J98" s="37" t="n"/>
    </row>
    <row r="99" ht="15" customHeight="1" s="62">
      <c r="A99" s="54" t="n"/>
      <c r="B99" s="33" t="n"/>
      <c r="C99" s="34" t="n"/>
      <c r="D99" s="34" t="n"/>
      <c r="E99" s="35" t="n"/>
      <c r="F99" s="35" t="n"/>
      <c r="G99" s="41" t="n"/>
      <c r="H99" s="34" t="n"/>
      <c r="I99" s="36" t="n"/>
      <c r="J99" s="37" t="n"/>
    </row>
    <row r="100" ht="15" customHeight="1" s="62">
      <c r="A100" s="54" t="n"/>
      <c r="B100" s="33" t="n"/>
      <c r="C100" s="34" t="n"/>
      <c r="D100" s="34" t="n"/>
      <c r="E100" s="35" t="n"/>
      <c r="F100" s="35" t="n"/>
      <c r="G100" s="41" t="n"/>
      <c r="H100" s="34" t="n"/>
      <c r="I100" s="36" t="n"/>
      <c r="J100" s="37" t="n"/>
    </row>
    <row r="101" ht="15" customHeight="1" s="62">
      <c r="A101" s="54" t="n"/>
      <c r="B101" s="33" t="n"/>
      <c r="C101" s="34" t="n"/>
      <c r="D101" s="34" t="n"/>
      <c r="E101" s="35" t="n"/>
      <c r="F101" s="35" t="n"/>
      <c r="G101" s="41" t="n"/>
      <c r="H101" s="34" t="n"/>
      <c r="I101" s="36" t="n"/>
      <c r="J101" s="37" t="n"/>
    </row>
    <row r="102" ht="15" customHeight="1" s="62">
      <c r="A102" s="54" t="n"/>
      <c r="B102" s="33" t="n"/>
      <c r="C102" s="34" t="n"/>
      <c r="D102" s="34" t="n"/>
      <c r="E102" s="35" t="n"/>
      <c r="F102" s="35" t="n"/>
      <c r="G102" s="41" t="n"/>
      <c r="H102" s="34" t="n"/>
      <c r="I102" s="36" t="n"/>
      <c r="J102" s="37" t="n"/>
    </row>
    <row r="103" ht="15" customHeight="1" s="62">
      <c r="A103" s="54" t="n"/>
      <c r="B103" s="33" t="n"/>
      <c r="C103" s="34" t="n"/>
      <c r="D103" s="34" t="n"/>
      <c r="E103" s="35" t="n"/>
      <c r="F103" s="35" t="n"/>
      <c r="G103" s="41" t="n"/>
      <c r="H103" s="34" t="n"/>
      <c r="I103" s="36" t="n"/>
      <c r="J103" s="37" t="n"/>
    </row>
    <row r="104" ht="15" customHeight="1" s="62">
      <c r="A104" s="54" t="n"/>
      <c r="B104" s="33" t="n"/>
      <c r="C104" s="34" t="n"/>
      <c r="D104" s="34" t="n"/>
      <c r="E104" s="35" t="n"/>
      <c r="F104" s="35" t="n"/>
      <c r="G104" s="41" t="n"/>
      <c r="H104" s="34" t="n"/>
      <c r="I104" s="36" t="n"/>
      <c r="J104" s="37" t="n"/>
    </row>
    <row r="105" ht="15" customHeight="1" s="62">
      <c r="A105" s="54" t="n"/>
      <c r="B105" s="33" t="n"/>
      <c r="C105" s="34" t="n"/>
      <c r="D105" s="34" t="n"/>
      <c r="E105" s="35" t="n"/>
      <c r="F105" s="35" t="n"/>
      <c r="G105" s="41" t="n"/>
      <c r="H105" s="34" t="n"/>
      <c r="I105" s="36" t="n"/>
      <c r="J105" s="37" t="n"/>
    </row>
    <row r="106" ht="15" customHeight="1" s="62">
      <c r="A106" s="54" t="n"/>
      <c r="B106" s="33" t="n"/>
      <c r="C106" s="34" t="n"/>
      <c r="D106" s="34" t="n"/>
      <c r="E106" s="35" t="n"/>
      <c r="F106" s="35" t="n"/>
      <c r="G106" s="41" t="n"/>
      <c r="H106" s="34" t="n"/>
      <c r="I106" s="36" t="n"/>
      <c r="J106" s="37" t="n"/>
    </row>
    <row r="107" ht="15" customHeight="1" s="62">
      <c r="A107" s="54" t="n"/>
      <c r="B107" s="33" t="n"/>
      <c r="C107" s="34" t="n"/>
      <c r="D107" s="34" t="n"/>
      <c r="E107" s="35" t="n"/>
      <c r="F107" s="35" t="n"/>
      <c r="G107" s="41" t="n"/>
      <c r="H107" s="34" t="n"/>
      <c r="I107" s="36" t="n"/>
      <c r="J107" s="37" t="n"/>
    </row>
    <row r="108" ht="15" customHeight="1" s="62">
      <c r="A108" s="54" t="n"/>
      <c r="B108" s="33" t="n"/>
      <c r="C108" s="34" t="n"/>
      <c r="D108" s="34" t="n"/>
      <c r="E108" s="35" t="n"/>
      <c r="F108" s="35" t="n"/>
      <c r="G108" s="41" t="n"/>
      <c r="H108" s="34" t="n"/>
      <c r="I108" s="36" t="n"/>
      <c r="J108" s="37" t="n"/>
    </row>
    <row r="109" ht="15" customHeight="1" s="62">
      <c r="A109" s="54" t="n"/>
      <c r="B109" s="33" t="n"/>
      <c r="C109" s="34" t="n"/>
      <c r="D109" s="34" t="n"/>
      <c r="E109" s="35" t="n"/>
      <c r="F109" s="35" t="n"/>
      <c r="G109" s="41" t="n"/>
      <c r="H109" s="34" t="n"/>
      <c r="I109" s="36" t="n"/>
      <c r="J109" s="37" t="n"/>
    </row>
    <row r="110" ht="15" customHeight="1" s="62">
      <c r="A110" s="54" t="n"/>
      <c r="B110" s="33" t="n"/>
      <c r="C110" s="34" t="n"/>
      <c r="D110" s="34" t="n"/>
      <c r="E110" s="35" t="n"/>
      <c r="F110" s="35" t="n"/>
      <c r="G110" s="41" t="n"/>
      <c r="H110" s="34" t="n"/>
      <c r="I110" s="36" t="n"/>
      <c r="J110" s="37" t="n"/>
    </row>
    <row r="111" ht="15" customHeight="1" s="62">
      <c r="A111" s="54" t="n"/>
      <c r="B111" s="33" t="n"/>
      <c r="C111" s="34" t="n"/>
      <c r="D111" s="34" t="n"/>
      <c r="E111" s="35" t="n"/>
      <c r="F111" s="35" t="n"/>
      <c r="G111" s="41" t="n"/>
      <c r="H111" s="34" t="n"/>
      <c r="I111" s="36" t="n"/>
      <c r="J111" s="37" t="n"/>
    </row>
    <row r="112" ht="15" customHeight="1" s="62">
      <c r="A112" s="54" t="n"/>
      <c r="B112" s="33" t="n"/>
      <c r="C112" s="34" t="n"/>
      <c r="D112" s="34" t="n"/>
      <c r="E112" s="35" t="n"/>
      <c r="F112" s="35" t="n"/>
      <c r="G112" s="41" t="n"/>
      <c r="H112" s="34" t="n"/>
      <c r="I112" s="36" t="n"/>
      <c r="J112" s="37" t="n"/>
    </row>
    <row r="113" ht="15" customHeight="1" s="62">
      <c r="A113" s="54" t="n"/>
      <c r="B113" s="33" t="n"/>
      <c r="C113" s="34" t="n"/>
      <c r="D113" s="34" t="n"/>
      <c r="E113" s="35" t="n"/>
      <c r="F113" s="35" t="n"/>
      <c r="G113" s="41" t="n"/>
      <c r="H113" s="34" t="n"/>
      <c r="I113" s="36" t="n"/>
      <c r="J113" s="37" t="n"/>
    </row>
    <row r="114" ht="15" customHeight="1" s="62">
      <c r="A114" s="54" t="n"/>
      <c r="B114" s="33" t="n"/>
      <c r="C114" s="34" t="n"/>
      <c r="D114" s="34" t="n"/>
      <c r="E114" s="35" t="n"/>
      <c r="F114" s="35" t="n"/>
      <c r="G114" s="41" t="n"/>
      <c r="H114" s="34" t="n"/>
      <c r="I114" s="36" t="n"/>
      <c r="J114" s="37" t="n"/>
    </row>
    <row r="115" ht="15" customHeight="1" s="62">
      <c r="A115" s="54" t="n"/>
      <c r="B115" s="33" t="n"/>
      <c r="C115" s="34" t="n"/>
      <c r="D115" s="34" t="n"/>
      <c r="E115" s="35" t="n"/>
      <c r="F115" s="35" t="n"/>
      <c r="G115" s="41" t="n"/>
      <c r="H115" s="34" t="n"/>
      <c r="I115" s="36" t="n"/>
      <c r="J115" s="37" t="n"/>
    </row>
    <row r="116" ht="15" customHeight="1" s="62">
      <c r="A116" s="54" t="n"/>
      <c r="B116" s="33" t="n"/>
      <c r="C116" s="34" t="n"/>
      <c r="D116" s="34" t="n"/>
      <c r="E116" s="35" t="n"/>
      <c r="F116" s="35" t="n"/>
      <c r="G116" s="41" t="n"/>
      <c r="H116" s="34" t="n"/>
      <c r="I116" s="36" t="n"/>
      <c r="J116" s="37" t="n"/>
    </row>
    <row r="117" ht="15" customHeight="1" s="62">
      <c r="A117" s="54" t="n"/>
      <c r="B117" s="33" t="n"/>
      <c r="C117" s="34" t="n"/>
      <c r="D117" s="34" t="n"/>
      <c r="E117" s="35" t="n"/>
      <c r="F117" s="35" t="n"/>
      <c r="G117" s="41" t="n"/>
      <c r="H117" s="34" t="n"/>
      <c r="I117" s="36" t="n"/>
      <c r="J117" s="37" t="n"/>
    </row>
    <row r="118" ht="15" customHeight="1" s="62">
      <c r="A118" s="54" t="n"/>
      <c r="B118" s="33" t="n"/>
      <c r="C118" s="34" t="n"/>
      <c r="D118" s="34" t="n"/>
      <c r="E118" s="35" t="n"/>
      <c r="F118" s="35" t="n"/>
      <c r="G118" s="41" t="n"/>
      <c r="H118" s="34" t="n"/>
      <c r="I118" s="36" t="n"/>
      <c r="J118" s="37" t="n"/>
    </row>
    <row r="119" ht="15" customHeight="1" s="62">
      <c r="A119" s="54" t="n"/>
      <c r="B119" s="33" t="n"/>
      <c r="C119" s="34" t="n"/>
      <c r="D119" s="34" t="n"/>
      <c r="E119" s="35" t="n"/>
      <c r="F119" s="35" t="n"/>
      <c r="G119" s="41" t="n"/>
      <c r="H119" s="34" t="n"/>
      <c r="I119" s="36" t="n"/>
      <c r="J119" s="37" t="n"/>
    </row>
    <row r="120" ht="15" customHeight="1" s="62">
      <c r="A120" s="54" t="n"/>
      <c r="B120" s="33" t="n"/>
      <c r="C120" s="34" t="n"/>
      <c r="D120" s="34" t="n"/>
      <c r="E120" s="35" t="n"/>
      <c r="F120" s="35" t="n"/>
      <c r="G120" s="41" t="n"/>
      <c r="H120" s="34" t="n"/>
      <c r="I120" s="36" t="n"/>
      <c r="J120" s="37" t="n"/>
    </row>
    <row r="121" ht="15" customHeight="1" s="62">
      <c r="A121" s="54" t="n"/>
      <c r="B121" s="33" t="n"/>
      <c r="C121" s="34" t="n"/>
      <c r="D121" s="34" t="n"/>
      <c r="E121" s="35" t="n"/>
      <c r="F121" s="35" t="n"/>
      <c r="G121" s="41" t="n"/>
      <c r="H121" s="34" t="n"/>
      <c r="I121" s="36" t="n"/>
      <c r="J121" s="37" t="n"/>
    </row>
    <row r="122" ht="15" customHeight="1" s="62">
      <c r="A122" s="54" t="n"/>
      <c r="B122" s="33" t="n"/>
      <c r="C122" s="34" t="n"/>
      <c r="D122" s="34" t="n"/>
      <c r="E122" s="35" t="n"/>
      <c r="F122" s="35" t="n"/>
      <c r="G122" s="41" t="n"/>
      <c r="H122" s="34" t="n"/>
      <c r="I122" s="36" t="n"/>
      <c r="J122" s="37" t="n"/>
    </row>
    <row r="123" ht="15" customHeight="1" s="62">
      <c r="A123" s="54" t="n"/>
      <c r="B123" s="33" t="n"/>
      <c r="C123" s="34" t="n"/>
      <c r="D123" s="34" t="n"/>
      <c r="E123" s="35" t="n"/>
      <c r="F123" s="35" t="n"/>
      <c r="G123" s="41" t="n"/>
      <c r="H123" s="34" t="n"/>
      <c r="I123" s="36" t="n"/>
      <c r="J123" s="37" t="n"/>
    </row>
    <row r="124" ht="15" customHeight="1" s="62">
      <c r="A124" s="54" t="n"/>
      <c r="B124" s="33" t="n"/>
      <c r="C124" s="34" t="n"/>
      <c r="D124" s="34" t="n"/>
      <c r="E124" s="35" t="n"/>
      <c r="F124" s="35" t="n"/>
      <c r="G124" s="41" t="n"/>
      <c r="H124" s="34" t="n"/>
      <c r="I124" s="36" t="n"/>
      <c r="J124" s="37" t="n"/>
    </row>
    <row r="125" ht="15" customHeight="1" s="62">
      <c r="A125" s="54" t="n"/>
      <c r="B125" s="33" t="n"/>
      <c r="C125" s="34" t="n"/>
      <c r="D125" s="34" t="n"/>
      <c r="E125" s="35" t="n"/>
      <c r="F125" s="35" t="n"/>
      <c r="G125" s="41" t="n"/>
      <c r="H125" s="34" t="n"/>
      <c r="I125" s="36" t="n"/>
      <c r="J125" s="37" t="n"/>
    </row>
    <row r="126" ht="15" customHeight="1" s="62">
      <c r="A126" s="54" t="n"/>
      <c r="B126" s="33" t="n"/>
      <c r="C126" s="34" t="n"/>
      <c r="D126" s="34" t="n"/>
      <c r="E126" s="35" t="n"/>
      <c r="F126" s="35" t="n"/>
      <c r="G126" s="41" t="n"/>
      <c r="H126" s="34" t="n"/>
      <c r="I126" s="36" t="n"/>
      <c r="J126" s="37" t="n"/>
    </row>
    <row r="127" ht="15" customHeight="1" s="62">
      <c r="A127" s="54" t="n"/>
      <c r="B127" s="33" t="n"/>
      <c r="C127" s="34" t="n"/>
      <c r="D127" s="34" t="n"/>
      <c r="E127" s="35" t="n"/>
      <c r="F127" s="35" t="n"/>
      <c r="G127" s="41" t="n"/>
      <c r="H127" s="34" t="n"/>
      <c r="I127" s="36" t="n"/>
      <c r="J127" s="37" t="n"/>
    </row>
    <row r="128" ht="15" customHeight="1" s="62">
      <c r="A128" s="54" t="n"/>
      <c r="B128" s="33" t="n"/>
      <c r="C128" s="34" t="n"/>
      <c r="D128" s="34" t="n"/>
      <c r="E128" s="35" t="n"/>
      <c r="F128" s="35" t="n"/>
      <c r="G128" s="41" t="n"/>
      <c r="H128" s="34" t="n"/>
      <c r="I128" s="36" t="n"/>
      <c r="J128" s="37" t="n"/>
    </row>
    <row r="129" ht="15" customHeight="1" s="62">
      <c r="A129" s="54" t="n"/>
      <c r="B129" s="33" t="n"/>
      <c r="C129" s="34" t="n"/>
      <c r="D129" s="34" t="n"/>
      <c r="E129" s="35" t="n"/>
      <c r="F129" s="35" t="n"/>
      <c r="G129" s="41" t="n"/>
      <c r="H129" s="34" t="n"/>
      <c r="I129" s="36" t="n"/>
      <c r="J129" s="37" t="n"/>
    </row>
    <row r="130" ht="15" customHeight="1" s="62">
      <c r="A130" s="54" t="n"/>
      <c r="B130" s="33" t="n"/>
      <c r="C130" s="34" t="n"/>
      <c r="D130" s="34" t="n"/>
      <c r="E130" s="35" t="n"/>
      <c r="F130" s="35" t="n"/>
      <c r="G130" s="41" t="n"/>
      <c r="H130" s="34" t="n"/>
      <c r="I130" s="36" t="n"/>
      <c r="J130" s="37" t="n"/>
    </row>
    <row r="131" ht="15" customHeight="1" s="62">
      <c r="A131" s="54" t="n"/>
      <c r="B131" s="33" t="n"/>
      <c r="C131" s="34" t="n"/>
      <c r="D131" s="34" t="n"/>
      <c r="E131" s="35" t="n"/>
      <c r="F131" s="35" t="n"/>
      <c r="G131" s="41" t="n"/>
      <c r="H131" s="34" t="n"/>
      <c r="I131" s="36" t="n"/>
      <c r="J131" s="37" t="n"/>
    </row>
    <row r="132" ht="15" customHeight="1" s="62">
      <c r="A132" s="54" t="n"/>
      <c r="B132" s="33" t="n"/>
      <c r="C132" s="34" t="n"/>
      <c r="D132" s="34" t="n"/>
      <c r="E132" s="35" t="n"/>
      <c r="F132" s="35" t="n"/>
      <c r="G132" s="41" t="n"/>
      <c r="H132" s="34" t="n"/>
      <c r="I132" s="36" t="n"/>
      <c r="J132" s="37" t="n"/>
    </row>
    <row r="133" ht="15" customHeight="1" s="62">
      <c r="A133" s="54" t="n"/>
      <c r="B133" s="33" t="n"/>
      <c r="C133" s="34" t="n"/>
      <c r="D133" s="34" t="n"/>
      <c r="E133" s="35" t="n"/>
      <c r="F133" s="35" t="n"/>
      <c r="G133" s="41" t="n"/>
      <c r="H133" s="34" t="n"/>
      <c r="I133" s="36" t="n"/>
      <c r="J133" s="37" t="n"/>
    </row>
    <row r="134" ht="15" customHeight="1" s="62">
      <c r="A134" s="54" t="n"/>
      <c r="B134" s="33" t="n"/>
      <c r="C134" s="34" t="n"/>
      <c r="D134" s="34" t="n"/>
      <c r="E134" s="35" t="n"/>
      <c r="F134" s="35" t="n"/>
      <c r="G134" s="41" t="n"/>
      <c r="H134" s="34" t="n"/>
      <c r="I134" s="36" t="n"/>
      <c r="J134" s="37" t="n"/>
    </row>
    <row r="135" ht="15" customHeight="1" s="62">
      <c r="A135" s="54" t="n"/>
      <c r="B135" s="33" t="n"/>
      <c r="C135" s="34" t="n"/>
      <c r="D135" s="34" t="n"/>
      <c r="E135" s="35" t="n"/>
      <c r="F135" s="35" t="n"/>
      <c r="G135" s="41" t="n"/>
      <c r="H135" s="34" t="n"/>
      <c r="I135" s="36" t="n"/>
      <c r="J135" s="37" t="n"/>
    </row>
    <row r="136" ht="15" customHeight="1" s="62">
      <c r="A136" s="54" t="n"/>
      <c r="B136" s="33" t="n"/>
      <c r="C136" s="34" t="n"/>
      <c r="D136" s="34" t="n"/>
      <c r="E136" s="35" t="n"/>
      <c r="F136" s="35" t="n"/>
      <c r="G136" s="41" t="n"/>
      <c r="H136" s="34" t="n"/>
      <c r="I136" s="36" t="n"/>
      <c r="J136" s="37" t="n"/>
    </row>
    <row r="137" ht="15" customHeight="1" s="62">
      <c r="A137" s="54" t="n"/>
      <c r="B137" s="33" t="n"/>
      <c r="C137" s="34" t="n"/>
      <c r="D137" s="34" t="n"/>
      <c r="E137" s="35" t="n"/>
      <c r="F137" s="35" t="n"/>
      <c r="G137" s="41" t="n"/>
      <c r="H137" s="34" t="n"/>
      <c r="I137" s="36" t="n"/>
      <c r="J137" s="37" t="n"/>
    </row>
    <row r="138" ht="15" customHeight="1" s="62">
      <c r="A138" s="54" t="n"/>
      <c r="B138" s="33" t="n"/>
      <c r="C138" s="34" t="n"/>
      <c r="D138" s="34" t="n"/>
      <c r="E138" s="35" t="n"/>
      <c r="F138" s="35" t="n"/>
      <c r="G138" s="41" t="n"/>
      <c r="H138" s="34" t="n"/>
      <c r="I138" s="36" t="n"/>
      <c r="J138" s="37" t="n"/>
    </row>
    <row r="139" ht="15" customHeight="1" s="62">
      <c r="A139" s="54" t="n"/>
      <c r="B139" s="33" t="n"/>
      <c r="C139" s="34" t="n"/>
      <c r="D139" s="34" t="n"/>
      <c r="E139" s="35" t="n"/>
      <c r="F139" s="35" t="n"/>
      <c r="G139" s="41" t="n"/>
      <c r="H139" s="34" t="n"/>
      <c r="I139" s="36" t="n"/>
      <c r="J139" s="37" t="n"/>
    </row>
    <row r="140" ht="15" customHeight="1" s="62">
      <c r="A140" s="54" t="n"/>
      <c r="B140" s="33" t="n"/>
      <c r="C140" s="34" t="n"/>
      <c r="D140" s="34" t="n"/>
      <c r="E140" s="35" t="n"/>
      <c r="F140" s="35" t="n"/>
      <c r="G140" s="41" t="n"/>
      <c r="H140" s="34" t="n"/>
      <c r="I140" s="36" t="n"/>
      <c r="J140" s="37" t="n"/>
    </row>
    <row r="141" ht="15" customHeight="1" s="62">
      <c r="A141" s="54" t="n"/>
      <c r="B141" s="33" t="n"/>
      <c r="C141" s="34" t="n"/>
      <c r="D141" s="34" t="n"/>
      <c r="E141" s="35" t="n"/>
      <c r="F141" s="35" t="n"/>
      <c r="G141" s="41" t="n"/>
      <c r="H141" s="34" t="n"/>
      <c r="I141" s="36" t="n"/>
      <c r="J141" s="37" t="n"/>
    </row>
    <row r="142" ht="15" customHeight="1" s="62">
      <c r="A142" s="54" t="n"/>
      <c r="B142" s="33" t="n"/>
      <c r="C142" s="34" t="n"/>
      <c r="D142" s="34" t="n"/>
      <c r="E142" s="35" t="n"/>
      <c r="F142" s="35" t="n"/>
      <c r="G142" s="41" t="n"/>
      <c r="H142" s="34" t="n"/>
      <c r="I142" s="36" t="n"/>
      <c r="J142" s="37" t="n"/>
    </row>
    <row r="143" ht="15" customHeight="1" s="62">
      <c r="A143" s="54" t="n"/>
      <c r="B143" s="33" t="n"/>
      <c r="C143" s="34" t="n"/>
      <c r="D143" s="34" t="n"/>
      <c r="E143" s="35" t="n"/>
      <c r="F143" s="35" t="n"/>
      <c r="G143" s="41" t="n"/>
      <c r="H143" s="34" t="n"/>
      <c r="I143" s="36" t="n"/>
      <c r="J143" s="37" t="n"/>
    </row>
    <row r="144" ht="15" customHeight="1" s="62">
      <c r="A144" s="54" t="n"/>
      <c r="B144" s="33" t="n"/>
      <c r="C144" s="34" t="n"/>
      <c r="D144" s="34" t="n"/>
      <c r="E144" s="35" t="n"/>
      <c r="F144" s="35" t="n"/>
      <c r="G144" s="41" t="n"/>
      <c r="H144" s="34" t="n"/>
      <c r="I144" s="36" t="n"/>
      <c r="J144" s="37" t="n"/>
    </row>
    <row r="145" ht="15" customHeight="1" s="62">
      <c r="A145" s="54" t="n"/>
      <c r="B145" s="33" t="n"/>
      <c r="C145" s="34" t="n"/>
      <c r="D145" s="34" t="n"/>
      <c r="E145" s="35" t="n"/>
      <c r="F145" s="35" t="n"/>
      <c r="G145" s="41" t="n"/>
      <c r="H145" s="34" t="n"/>
      <c r="I145" s="36" t="n"/>
      <c r="J145" s="37" t="n"/>
    </row>
    <row r="146" ht="15" customHeight="1" s="62">
      <c r="A146" s="54" t="n"/>
      <c r="B146" s="33" t="n"/>
      <c r="C146" s="34" t="n"/>
      <c r="D146" s="34" t="n"/>
      <c r="E146" s="35" t="n"/>
      <c r="F146" s="35" t="n"/>
      <c r="G146" s="41" t="n"/>
      <c r="H146" s="34" t="n"/>
      <c r="I146" s="36" t="n"/>
      <c r="J146" s="37" t="n"/>
    </row>
    <row r="147" ht="15" customHeight="1" s="62">
      <c r="A147" s="54" t="n"/>
      <c r="B147" s="33" t="n"/>
      <c r="C147" s="34" t="n"/>
      <c r="D147" s="34" t="n"/>
      <c r="E147" s="35" t="n"/>
      <c r="F147" s="35" t="n"/>
      <c r="G147" s="41" t="n"/>
      <c r="H147" s="34" t="n"/>
      <c r="I147" s="36" t="n"/>
      <c r="J147" s="37" t="n"/>
    </row>
    <row r="148" ht="15" customHeight="1" s="62">
      <c r="A148" s="54" t="n"/>
      <c r="B148" s="33" t="n"/>
      <c r="C148" s="34" t="n"/>
      <c r="D148" s="34" t="n"/>
      <c r="E148" s="35" t="n"/>
      <c r="F148" s="35" t="n"/>
      <c r="G148" s="41" t="n"/>
      <c r="H148" s="34" t="n"/>
      <c r="I148" s="36" t="n"/>
      <c r="J148" s="37" t="n"/>
    </row>
    <row r="149" ht="15" customHeight="1" s="62">
      <c r="A149" s="54" t="n"/>
      <c r="B149" s="33" t="n"/>
      <c r="C149" s="34" t="n"/>
      <c r="D149" s="34" t="n"/>
      <c r="E149" s="35" t="n"/>
      <c r="F149" s="35" t="n"/>
      <c r="G149" s="41" t="n"/>
      <c r="H149" s="34" t="n"/>
      <c r="I149" s="36" t="n"/>
      <c r="J149" s="37" t="n"/>
    </row>
    <row r="150" ht="15" customHeight="1" s="62">
      <c r="A150" s="54" t="n"/>
      <c r="B150" s="33" t="n"/>
      <c r="C150" s="34" t="n"/>
      <c r="D150" s="34" t="n"/>
      <c r="E150" s="35" t="n"/>
      <c r="F150" s="35" t="n"/>
      <c r="G150" s="41" t="n"/>
      <c r="H150" s="34" t="n"/>
      <c r="I150" s="36" t="n"/>
      <c r="J150" s="37" t="n"/>
    </row>
    <row r="151" ht="15" customHeight="1" s="62">
      <c r="A151" s="54" t="n"/>
      <c r="B151" s="33" t="n"/>
      <c r="C151" s="34" t="n"/>
      <c r="D151" s="34" t="n"/>
      <c r="E151" s="35" t="n"/>
      <c r="F151" s="35" t="n"/>
      <c r="G151" s="41" t="n"/>
      <c r="H151" s="34" t="n"/>
      <c r="I151" s="36" t="n"/>
      <c r="J151" s="37" t="n"/>
    </row>
    <row r="152" ht="15" customHeight="1" s="62">
      <c r="A152" s="54" t="n"/>
      <c r="B152" s="33" t="n"/>
      <c r="C152" s="34" t="n"/>
      <c r="D152" s="34" t="n"/>
      <c r="E152" s="35" t="n"/>
      <c r="F152" s="35" t="n"/>
      <c r="G152" s="41" t="n"/>
      <c r="H152" s="34" t="n"/>
      <c r="I152" s="36" t="n"/>
      <c r="J152" s="37" t="n"/>
    </row>
    <row r="153" ht="15" customHeight="1" s="62">
      <c r="A153" s="54" t="n"/>
      <c r="B153" s="33" t="n"/>
      <c r="C153" s="34" t="n"/>
      <c r="D153" s="34" t="n"/>
      <c r="E153" s="35" t="n"/>
      <c r="F153" s="35" t="n"/>
      <c r="G153" s="41" t="n"/>
      <c r="H153" s="34" t="n"/>
      <c r="I153" s="36" t="n"/>
      <c r="J153" s="37" t="n"/>
    </row>
    <row r="154" ht="15" customHeight="1" s="62">
      <c r="A154" s="54" t="n"/>
      <c r="B154" s="33" t="n"/>
      <c r="C154" s="34" t="n"/>
      <c r="D154" s="34" t="n"/>
      <c r="E154" s="35" t="n"/>
      <c r="F154" s="35" t="n"/>
      <c r="G154" s="41" t="n"/>
      <c r="H154" s="34" t="n"/>
      <c r="I154" s="36" t="n"/>
      <c r="J154" s="37" t="n"/>
    </row>
    <row r="155" ht="15" customHeight="1" s="62">
      <c r="A155" s="54" t="n"/>
      <c r="B155" s="33" t="n"/>
      <c r="C155" s="34" t="n"/>
      <c r="D155" s="34" t="n"/>
      <c r="E155" s="35" t="n"/>
      <c r="F155" s="35" t="n"/>
      <c r="G155" s="41" t="n"/>
      <c r="H155" s="34" t="n"/>
      <c r="I155" s="36" t="n"/>
      <c r="J155" s="37" t="n"/>
    </row>
    <row r="156" ht="15" customHeight="1" s="62">
      <c r="A156" s="54" t="n"/>
      <c r="B156" s="33" t="n"/>
      <c r="C156" s="34" t="n"/>
      <c r="D156" s="34" t="n"/>
      <c r="E156" s="35" t="n"/>
      <c r="F156" s="35" t="n"/>
      <c r="G156" s="41" t="n"/>
      <c r="H156" s="34" t="n"/>
      <c r="I156" s="36" t="n"/>
      <c r="J156" s="37" t="n"/>
    </row>
    <row r="157" ht="15" customHeight="1" s="62">
      <c r="A157" s="54" t="n"/>
      <c r="B157" s="33" t="n"/>
      <c r="C157" s="34" t="n"/>
      <c r="D157" s="34" t="n"/>
      <c r="E157" s="35" t="n"/>
      <c r="F157" s="35" t="n"/>
      <c r="G157" s="41" t="n"/>
      <c r="H157" s="34" t="n"/>
      <c r="I157" s="36" t="n"/>
      <c r="J157" s="37" t="n"/>
    </row>
    <row r="158" ht="15" customHeight="1" s="62">
      <c r="A158" s="54" t="n"/>
      <c r="B158" s="33" t="n"/>
      <c r="C158" s="34" t="n"/>
      <c r="D158" s="34" t="n"/>
      <c r="E158" s="35" t="n"/>
      <c r="F158" s="35" t="n"/>
      <c r="G158" s="41" t="n"/>
      <c r="H158" s="34" t="n"/>
      <c r="I158" s="36" t="n"/>
      <c r="J158" s="37" t="n"/>
    </row>
    <row r="159" ht="15" customHeight="1" s="62">
      <c r="A159" s="54" t="n"/>
      <c r="B159" s="33" t="n"/>
      <c r="C159" s="34" t="n"/>
      <c r="D159" s="34" t="n"/>
      <c r="E159" s="35" t="n"/>
      <c r="F159" s="35" t="n"/>
      <c r="G159" s="41" t="n"/>
      <c r="H159" s="34" t="n"/>
      <c r="I159" s="36" t="n"/>
      <c r="J159" s="37" t="n"/>
    </row>
    <row r="160" ht="15" customHeight="1" s="62">
      <c r="A160" s="54" t="n"/>
      <c r="B160" s="33" t="n"/>
      <c r="C160" s="34" t="n"/>
      <c r="D160" s="34" t="n"/>
      <c r="E160" s="35" t="n"/>
      <c r="F160" s="35" t="n"/>
      <c r="G160" s="41" t="n"/>
      <c r="H160" s="34" t="n"/>
      <c r="I160" s="36" t="n"/>
      <c r="J160" s="37" t="n"/>
    </row>
    <row r="161" ht="15" customHeight="1" s="62">
      <c r="A161" s="54" t="n"/>
      <c r="B161" s="33" t="n"/>
      <c r="C161" s="34" t="n"/>
      <c r="D161" s="34" t="n"/>
      <c r="E161" s="35" t="n"/>
      <c r="F161" s="35" t="n"/>
      <c r="G161" s="41" t="n"/>
      <c r="H161" s="34" t="n"/>
      <c r="I161" s="36" t="n"/>
      <c r="J161" s="37" t="n"/>
    </row>
    <row r="162" ht="15" customHeight="1" s="62">
      <c r="A162" s="54" t="n"/>
      <c r="B162" s="33" t="n"/>
      <c r="C162" s="34" t="n"/>
      <c r="D162" s="34" t="n"/>
      <c r="E162" s="35" t="n"/>
      <c r="F162" s="35" t="n"/>
      <c r="G162" s="41" t="n"/>
      <c r="H162" s="34" t="n"/>
      <c r="I162" s="36" t="n"/>
      <c r="J162" s="37" t="n"/>
    </row>
    <row r="163" ht="15" customHeight="1" s="62">
      <c r="A163" s="54" t="n"/>
      <c r="B163" s="33" t="n"/>
      <c r="C163" s="34" t="n"/>
      <c r="D163" s="34" t="n"/>
      <c r="E163" s="35" t="n"/>
      <c r="F163" s="35" t="n"/>
      <c r="G163" s="41" t="n"/>
      <c r="H163" s="34" t="n"/>
      <c r="I163" s="36" t="n"/>
      <c r="J163" s="37" t="n"/>
    </row>
    <row r="164" ht="15" customHeight="1" s="62">
      <c r="A164" s="54" t="n"/>
      <c r="B164" s="33" t="n"/>
      <c r="C164" s="34" t="n"/>
      <c r="D164" s="34" t="n"/>
      <c r="E164" s="35" t="n"/>
      <c r="F164" s="35" t="n"/>
      <c r="G164" s="41" t="n"/>
      <c r="H164" s="34" t="n"/>
      <c r="I164" s="36" t="n"/>
      <c r="J164" s="37" t="n"/>
    </row>
    <row r="165" ht="15" customHeight="1" s="62">
      <c r="A165" s="54" t="n"/>
      <c r="B165" s="33" t="n"/>
      <c r="C165" s="34" t="n"/>
      <c r="D165" s="34" t="n"/>
      <c r="E165" s="35" t="n"/>
      <c r="F165" s="35" t="n"/>
      <c r="G165" s="41" t="n"/>
      <c r="H165" s="34" t="n"/>
      <c r="I165" s="36" t="n"/>
      <c r="J165" s="37" t="n"/>
    </row>
    <row r="166" ht="15" customHeight="1" s="62">
      <c r="A166" s="54" t="n"/>
      <c r="B166" s="33" t="n"/>
      <c r="C166" s="34" t="n"/>
      <c r="D166" s="34" t="n"/>
      <c r="E166" s="35" t="n"/>
      <c r="F166" s="35" t="n"/>
      <c r="G166" s="41" t="n"/>
      <c r="H166" s="34" t="n"/>
      <c r="I166" s="36" t="n"/>
      <c r="J166" s="37" t="n"/>
    </row>
    <row r="167" ht="15" customHeight="1" s="62">
      <c r="A167" s="54" t="n"/>
      <c r="B167" s="33" t="n"/>
      <c r="C167" s="34" t="n"/>
      <c r="D167" s="34" t="n"/>
      <c r="E167" s="35" t="n"/>
      <c r="F167" s="35" t="n"/>
      <c r="G167" s="41" t="n"/>
      <c r="H167" s="34" t="n"/>
      <c r="I167" s="36" t="n"/>
      <c r="J167" s="37" t="n"/>
    </row>
    <row r="168" ht="15" customHeight="1" s="62">
      <c r="A168" s="54" t="n"/>
      <c r="B168" s="33" t="n"/>
      <c r="C168" s="34" t="n"/>
      <c r="D168" s="34" t="n"/>
      <c r="E168" s="35" t="n"/>
      <c r="F168" s="35" t="n"/>
      <c r="G168" s="41" t="n"/>
      <c r="H168" s="34" t="n"/>
      <c r="I168" s="36" t="n"/>
      <c r="J168" s="37" t="n"/>
    </row>
    <row r="169" ht="15" customHeight="1" s="62">
      <c r="A169" s="54" t="n"/>
      <c r="B169" s="33" t="n"/>
      <c r="C169" s="34" t="n"/>
      <c r="D169" s="34" t="n"/>
      <c r="E169" s="35" t="n"/>
      <c r="F169" s="35" t="n"/>
      <c r="G169" s="41" t="n"/>
      <c r="H169" s="34" t="n"/>
      <c r="I169" s="36" t="n"/>
      <c r="J169" s="37" t="n"/>
    </row>
    <row r="170" ht="15" customHeight="1" s="62">
      <c r="A170" s="54" t="n"/>
      <c r="B170" s="33" t="n"/>
      <c r="C170" s="34" t="n"/>
      <c r="D170" s="34" t="n"/>
      <c r="E170" s="35" t="n"/>
      <c r="F170" s="35" t="n"/>
      <c r="G170" s="41" t="n"/>
      <c r="H170" s="34" t="n"/>
      <c r="I170" s="36" t="n"/>
      <c r="J170" s="37" t="n"/>
    </row>
    <row r="171" ht="15" customHeight="1" s="62">
      <c r="A171" s="54" t="n"/>
      <c r="B171" s="33" t="n"/>
      <c r="C171" s="34" t="n"/>
      <c r="D171" s="34" t="n"/>
      <c r="E171" s="35" t="n"/>
      <c r="F171" s="35" t="n"/>
      <c r="G171" s="41" t="n"/>
      <c r="H171" s="34" t="n"/>
      <c r="I171" s="36" t="n"/>
      <c r="J171" s="37" t="n"/>
    </row>
    <row r="172" ht="15" customHeight="1" s="62">
      <c r="A172" s="54" t="n"/>
      <c r="B172" s="33" t="n"/>
      <c r="C172" s="34" t="n"/>
      <c r="D172" s="34" t="n"/>
      <c r="E172" s="35" t="n"/>
      <c r="F172" s="35" t="n"/>
      <c r="G172" s="41" t="n"/>
      <c r="H172" s="34" t="n"/>
      <c r="I172" s="36" t="n"/>
      <c r="J172" s="37" t="n"/>
    </row>
    <row r="173" ht="15" customHeight="1" s="62">
      <c r="A173" s="54" t="n"/>
      <c r="B173" s="33" t="n"/>
      <c r="C173" s="34" t="n"/>
      <c r="D173" s="34" t="n"/>
      <c r="E173" s="35" t="n"/>
      <c r="F173" s="35" t="n"/>
      <c r="G173" s="41" t="n"/>
      <c r="H173" s="34" t="n"/>
      <c r="I173" s="36" t="n"/>
      <c r="J173" s="37" t="n"/>
    </row>
    <row r="174" ht="15" customHeight="1" s="62">
      <c r="A174" s="54" t="n"/>
      <c r="B174" s="33" t="n"/>
      <c r="C174" s="34" t="n"/>
      <c r="D174" s="34" t="n"/>
      <c r="E174" s="35" t="n"/>
      <c r="F174" s="35" t="n"/>
      <c r="G174" s="41" t="n"/>
      <c r="H174" s="34" t="n"/>
      <c r="I174" s="36" t="n"/>
      <c r="J174" s="37" t="n"/>
    </row>
    <row r="175" ht="15" customHeight="1" s="62">
      <c r="A175" s="54" t="n"/>
      <c r="B175" s="33" t="n"/>
      <c r="C175" s="34" t="n"/>
      <c r="D175" s="34" t="n"/>
      <c r="E175" s="35" t="n"/>
      <c r="F175" s="35" t="n"/>
      <c r="G175" s="41" t="n"/>
      <c r="H175" s="34" t="n"/>
      <c r="I175" s="36" t="n"/>
      <c r="J175" s="37" t="n"/>
    </row>
    <row r="176" ht="15" customHeight="1" s="62">
      <c r="A176" s="54" t="n"/>
      <c r="B176" s="33" t="n"/>
      <c r="C176" s="34" t="n"/>
      <c r="D176" s="34" t="n"/>
      <c r="E176" s="35" t="n"/>
      <c r="F176" s="35" t="n"/>
      <c r="G176" s="41" t="n"/>
      <c r="H176" s="34" t="n"/>
      <c r="I176" s="36" t="n"/>
      <c r="J176" s="37" t="n"/>
    </row>
    <row r="177" ht="15" customHeight="1" s="62">
      <c r="A177" s="54" t="n"/>
      <c r="B177" s="33" t="n"/>
      <c r="C177" s="34" t="n"/>
      <c r="D177" s="34" t="n"/>
      <c r="E177" s="35" t="n"/>
      <c r="F177" s="35" t="n"/>
      <c r="G177" s="41" t="n"/>
      <c r="H177" s="34" t="n"/>
      <c r="I177" s="36" t="n"/>
      <c r="J177" s="37" t="n"/>
    </row>
    <row r="178" ht="15" customHeight="1" s="62">
      <c r="A178" s="54" t="n"/>
      <c r="B178" s="33" t="n"/>
      <c r="C178" s="34" t="n"/>
      <c r="D178" s="34" t="n"/>
      <c r="E178" s="35" t="n"/>
      <c r="F178" s="35" t="n"/>
      <c r="G178" s="41" t="n"/>
      <c r="H178" s="34" t="n"/>
      <c r="I178" s="36" t="n"/>
      <c r="J178" s="37" t="n"/>
    </row>
    <row r="179" ht="15" customHeight="1" s="62">
      <c r="A179" s="54" t="n"/>
      <c r="B179" s="33" t="n"/>
      <c r="C179" s="34" t="n"/>
      <c r="D179" s="34" t="n"/>
      <c r="E179" s="35" t="n"/>
      <c r="F179" s="35" t="n"/>
      <c r="G179" s="41" t="n"/>
      <c r="H179" s="34" t="n"/>
      <c r="I179" s="36" t="n"/>
      <c r="J179" s="37" t="n"/>
    </row>
    <row r="180" ht="15" customHeight="1" s="62">
      <c r="A180" s="54" t="n"/>
      <c r="B180" s="33" t="n"/>
      <c r="C180" s="34" t="n"/>
      <c r="D180" s="34" t="n"/>
      <c r="E180" s="35" t="n"/>
      <c r="F180" s="35" t="n"/>
      <c r="G180" s="41" t="n"/>
      <c r="H180" s="34" t="n"/>
      <c r="I180" s="36" t="n"/>
      <c r="J180" s="37" t="n"/>
    </row>
    <row r="181" ht="15" customHeight="1" s="62">
      <c r="A181" s="54" t="n"/>
      <c r="B181" s="33" t="n"/>
      <c r="C181" s="34" t="n"/>
      <c r="D181" s="34" t="n"/>
      <c r="E181" s="35" t="n"/>
      <c r="F181" s="35" t="n"/>
      <c r="G181" s="41" t="n"/>
      <c r="H181" s="34" t="n"/>
      <c r="I181" s="36" t="n"/>
      <c r="J181" s="37" t="n"/>
    </row>
    <row r="182" ht="15" customHeight="1" s="62">
      <c r="A182" s="54" t="n"/>
      <c r="B182" s="33" t="n"/>
      <c r="C182" s="34" t="n"/>
      <c r="D182" s="34" t="n"/>
      <c r="E182" s="35" t="n"/>
      <c r="F182" s="35" t="n"/>
      <c r="G182" s="41" t="n"/>
      <c r="H182" s="34" t="n"/>
      <c r="I182" s="36" t="n"/>
      <c r="J182" s="37" t="n"/>
    </row>
    <row r="183" ht="15" customHeight="1" s="62">
      <c r="A183" s="54" t="n"/>
      <c r="B183" s="33" t="n"/>
      <c r="C183" s="34" t="n"/>
      <c r="D183" s="34" t="n"/>
      <c r="E183" s="35" t="n"/>
      <c r="F183" s="35" t="n"/>
      <c r="G183" s="41" t="n"/>
      <c r="H183" s="34" t="n"/>
      <c r="I183" s="36" t="n"/>
      <c r="J183" s="37" t="n"/>
    </row>
    <row r="184" ht="15" customHeight="1" s="62">
      <c r="A184" s="54" t="n"/>
      <c r="B184" s="33" t="n"/>
      <c r="C184" s="34" t="n"/>
      <c r="D184" s="34" t="n"/>
      <c r="E184" s="35" t="n"/>
      <c r="F184" s="35" t="n"/>
      <c r="G184" s="41" t="n"/>
      <c r="H184" s="34" t="n"/>
      <c r="I184" s="36" t="n"/>
      <c r="J184" s="37" t="n"/>
    </row>
    <row r="185" ht="15" customHeight="1" s="62">
      <c r="A185" s="54" t="n"/>
      <c r="B185" s="33" t="n"/>
      <c r="C185" s="34" t="n"/>
      <c r="D185" s="34" t="n"/>
      <c r="E185" s="35" t="n"/>
      <c r="F185" s="35" t="n"/>
      <c r="G185" s="41" t="n"/>
      <c r="H185" s="34" t="n"/>
      <c r="I185" s="36" t="n"/>
      <c r="J185" s="37" t="n"/>
    </row>
    <row r="186" ht="15" customHeight="1" s="62">
      <c r="A186" s="54" t="n"/>
      <c r="B186" s="33" t="n"/>
      <c r="C186" s="34" t="n"/>
      <c r="D186" s="34" t="n"/>
      <c r="E186" s="35" t="n"/>
      <c r="F186" s="35" t="n"/>
      <c r="G186" s="41" t="n"/>
      <c r="H186" s="34" t="n"/>
      <c r="I186" s="36" t="n"/>
      <c r="J186" s="37" t="n"/>
    </row>
    <row r="187" ht="15" customHeight="1" s="62">
      <c r="A187" s="54" t="n"/>
      <c r="B187" s="33" t="n"/>
      <c r="C187" s="34" t="n"/>
      <c r="D187" s="34" t="n"/>
      <c r="E187" s="35" t="n"/>
      <c r="F187" s="35" t="n"/>
      <c r="G187" s="41" t="n"/>
      <c r="H187" s="34" t="n"/>
      <c r="I187" s="36" t="n"/>
      <c r="J187" s="37" t="n"/>
    </row>
    <row r="188" ht="15" customHeight="1" s="62">
      <c r="A188" s="54" t="n"/>
      <c r="B188" s="33" t="n"/>
      <c r="C188" s="34" t="n"/>
      <c r="D188" s="34" t="n"/>
      <c r="E188" s="35" t="n"/>
      <c r="F188" s="35" t="n"/>
      <c r="G188" s="41" t="n"/>
      <c r="H188" s="34" t="n"/>
      <c r="I188" s="36" t="n"/>
      <c r="J188" s="37" t="n"/>
    </row>
    <row r="189" ht="15" customHeight="1" s="62">
      <c r="A189" s="54" t="n"/>
      <c r="B189" s="33" t="n"/>
      <c r="C189" s="34" t="n"/>
      <c r="D189" s="34" t="n"/>
      <c r="E189" s="35" t="n"/>
      <c r="F189" s="35" t="n"/>
      <c r="G189" s="41" t="n"/>
      <c r="H189" s="34" t="n"/>
      <c r="I189" s="36" t="n"/>
      <c r="J189" s="37" t="n"/>
    </row>
    <row r="190" ht="15" customHeight="1" s="62">
      <c r="A190" s="54" t="n"/>
      <c r="B190" s="33" t="n"/>
      <c r="C190" s="34" t="n"/>
      <c r="D190" s="34" t="n"/>
      <c r="E190" s="35" t="n"/>
      <c r="F190" s="35" t="n"/>
      <c r="G190" s="41" t="n"/>
      <c r="H190" s="34" t="n"/>
      <c r="I190" s="36" t="n"/>
      <c r="J190" s="37" t="n"/>
    </row>
    <row r="191" ht="15" customHeight="1" s="62">
      <c r="A191" s="54" t="n"/>
      <c r="B191" s="33" t="n"/>
      <c r="C191" s="34" t="n"/>
      <c r="D191" s="34" t="n"/>
      <c r="E191" s="35" t="n"/>
      <c r="F191" s="35" t="n"/>
      <c r="G191" s="41" t="n"/>
      <c r="H191" s="34" t="n"/>
      <c r="I191" s="36" t="n"/>
      <c r="J191" s="37" t="n"/>
    </row>
    <row r="192" ht="15" customHeight="1" s="62">
      <c r="A192" s="54" t="n"/>
      <c r="B192" s="33" t="n"/>
      <c r="C192" s="34" t="n"/>
      <c r="D192" s="34" t="n"/>
      <c r="E192" s="35" t="n"/>
      <c r="F192" s="35" t="n"/>
      <c r="G192" s="41" t="n"/>
      <c r="H192" s="34" t="n"/>
      <c r="I192" s="36" t="n"/>
      <c r="J192" s="37" t="n"/>
    </row>
    <row r="193" ht="15" customHeight="1" s="62">
      <c r="A193" s="54" t="n"/>
      <c r="B193" s="33" t="n"/>
      <c r="C193" s="34" t="n"/>
      <c r="D193" s="34" t="n"/>
      <c r="E193" s="35" t="n"/>
      <c r="F193" s="35" t="n"/>
      <c r="G193" s="41" t="n"/>
      <c r="H193" s="34" t="n"/>
      <c r="I193" s="36" t="n"/>
      <c r="J193" s="37" t="n"/>
    </row>
    <row r="194" ht="15" customHeight="1" s="62">
      <c r="A194" s="54" t="n"/>
      <c r="B194" s="33" t="n"/>
      <c r="C194" s="34" t="n"/>
      <c r="D194" s="34" t="n"/>
      <c r="E194" s="35" t="n"/>
      <c r="F194" s="35" t="n"/>
      <c r="G194" s="41" t="n"/>
      <c r="H194" s="34" t="n"/>
      <c r="I194" s="36" t="n"/>
      <c r="J194" s="37" t="n"/>
    </row>
    <row r="195" ht="15" customHeight="1" s="62">
      <c r="A195" s="54" t="n"/>
      <c r="B195" s="33" t="n"/>
      <c r="C195" s="34" t="n"/>
      <c r="D195" s="34" t="n"/>
      <c r="E195" s="35" t="n"/>
      <c r="F195" s="35" t="n"/>
      <c r="G195" s="41" t="n"/>
      <c r="H195" s="34" t="n"/>
      <c r="I195" s="36" t="n"/>
      <c r="J195" s="37" t="n"/>
    </row>
    <row r="196" ht="15" customHeight="1" s="62">
      <c r="A196" s="54" t="n"/>
      <c r="B196" s="33" t="n"/>
      <c r="C196" s="34" t="n"/>
      <c r="D196" s="34" t="n"/>
      <c r="E196" s="35" t="n"/>
      <c r="F196" s="35" t="n"/>
      <c r="G196" s="41" t="n"/>
      <c r="H196" s="34" t="n"/>
      <c r="I196" s="36" t="n"/>
      <c r="J196" s="37" t="n"/>
    </row>
    <row r="197" ht="15" customHeight="1" s="62">
      <c r="A197" s="54" t="n"/>
      <c r="B197" s="33" t="n"/>
      <c r="C197" s="34" t="n"/>
      <c r="D197" s="34" t="n"/>
      <c r="E197" s="35" t="n"/>
      <c r="F197" s="35" t="n"/>
      <c r="G197" s="41" t="n"/>
      <c r="H197" s="34" t="n"/>
      <c r="I197" s="36" t="n"/>
      <c r="J197" s="37" t="n"/>
    </row>
    <row r="198" ht="15" customHeight="1" s="62">
      <c r="A198" s="54" t="n"/>
      <c r="B198" s="33" t="n"/>
      <c r="C198" s="34" t="n"/>
      <c r="D198" s="34" t="n"/>
      <c r="E198" s="35" t="n"/>
      <c r="F198" s="35" t="n"/>
      <c r="G198" s="41" t="n"/>
      <c r="H198" s="34" t="n"/>
      <c r="I198" s="36" t="n"/>
      <c r="J198" s="37" t="n"/>
    </row>
    <row r="199" ht="15" customHeight="1" s="62">
      <c r="A199" s="54" t="n"/>
      <c r="B199" s="33" t="n"/>
      <c r="C199" s="34" t="n"/>
      <c r="D199" s="34" t="n"/>
      <c r="E199" s="35" t="n"/>
      <c r="F199" s="35" t="n"/>
      <c r="G199" s="41" t="n"/>
      <c r="H199" s="34" t="n"/>
      <c r="I199" s="36" t="n"/>
      <c r="J199" s="37" t="n"/>
    </row>
    <row r="200" ht="15" customHeight="1" s="62">
      <c r="A200" s="54" t="n"/>
      <c r="B200" s="33" t="n"/>
      <c r="C200" s="34" t="n"/>
      <c r="D200" s="34" t="n"/>
      <c r="E200" s="35" t="n"/>
      <c r="F200" s="35" t="n"/>
      <c r="G200" s="41" t="n"/>
      <c r="H200" s="34" t="n"/>
      <c r="I200" s="36" t="n"/>
      <c r="J200" s="37" t="n"/>
    </row>
    <row r="201" ht="15" customHeight="1" s="62">
      <c r="A201" s="54" t="n"/>
      <c r="B201" s="33" t="n"/>
      <c r="C201" s="34" t="n"/>
      <c r="D201" s="34" t="n"/>
      <c r="E201" s="35" t="n"/>
      <c r="F201" s="35" t="n"/>
      <c r="G201" s="41" t="n"/>
      <c r="H201" s="34" t="n"/>
      <c r="I201" s="36" t="n"/>
      <c r="J201" s="37" t="n"/>
    </row>
    <row r="202" ht="15" customHeight="1" s="62">
      <c r="A202" s="54" t="n"/>
      <c r="B202" s="33" t="n"/>
      <c r="C202" s="34" t="n"/>
      <c r="D202" s="34" t="n"/>
      <c r="E202" s="35" t="n"/>
      <c r="F202" s="35" t="n"/>
      <c r="G202" s="41" t="n"/>
      <c r="H202" s="34" t="n"/>
      <c r="I202" s="36" t="n"/>
      <c r="J202" s="37" t="n"/>
    </row>
    <row r="203" ht="15" customHeight="1" s="62">
      <c r="A203" s="54" t="n"/>
      <c r="B203" s="33" t="n"/>
      <c r="C203" s="34" t="n"/>
      <c r="D203" s="34" t="n"/>
      <c r="E203" s="35" t="n"/>
      <c r="F203" s="35" t="n"/>
      <c r="G203" s="41" t="n"/>
      <c r="H203" s="34" t="n"/>
      <c r="I203" s="36" t="n"/>
      <c r="J203" s="37" t="n"/>
    </row>
    <row r="204" ht="15" customHeight="1" s="62">
      <c r="A204" s="54" t="n"/>
      <c r="B204" s="33" t="n"/>
      <c r="C204" s="34" t="n"/>
      <c r="D204" s="34" t="n"/>
      <c r="E204" s="35" t="n"/>
      <c r="F204" s="35" t="n"/>
      <c r="G204" s="41" t="n"/>
      <c r="H204" s="34" t="n"/>
      <c r="I204" s="36" t="n"/>
      <c r="J204" s="37" t="n"/>
    </row>
    <row r="205" ht="15" customHeight="1" s="62">
      <c r="A205" s="54" t="n"/>
      <c r="B205" s="33" t="n"/>
      <c r="C205" s="34" t="n"/>
      <c r="D205" s="34" t="n"/>
      <c r="E205" s="35" t="n"/>
      <c r="F205" s="35" t="n"/>
      <c r="G205" s="41" t="n"/>
      <c r="H205" s="34" t="n"/>
      <c r="I205" s="36" t="n"/>
      <c r="J205" s="37" t="n"/>
    </row>
    <row r="206" ht="15" customHeight="1" s="62">
      <c r="A206" s="54" t="n"/>
      <c r="B206" s="33" t="n"/>
      <c r="C206" s="34" t="n"/>
      <c r="D206" s="34" t="n"/>
      <c r="E206" s="35" t="n"/>
      <c r="F206" s="35" t="n"/>
      <c r="G206" s="41" t="n"/>
      <c r="H206" s="34" t="n"/>
      <c r="I206" s="36" t="n"/>
      <c r="J206" s="37" t="n"/>
    </row>
    <row r="207" ht="15" customHeight="1" s="62">
      <c r="A207" s="54" t="n"/>
      <c r="B207" s="33" t="n"/>
      <c r="C207" s="34" t="n"/>
      <c r="D207" s="34" t="n"/>
      <c r="E207" s="35" t="n"/>
      <c r="F207" s="35" t="n"/>
      <c r="G207" s="41" t="n"/>
      <c r="H207" s="34" t="n"/>
      <c r="I207" s="36" t="n"/>
      <c r="J207" s="37" t="n"/>
    </row>
    <row r="208" ht="15" customHeight="1" s="62">
      <c r="A208" s="54" t="n"/>
      <c r="B208" s="33" t="n"/>
      <c r="C208" s="34" t="n"/>
      <c r="D208" s="34" t="n"/>
      <c r="E208" s="35" t="n"/>
      <c r="F208" s="35" t="n"/>
      <c r="G208" s="41" t="n"/>
      <c r="H208" s="34" t="n"/>
      <c r="I208" s="36" t="n"/>
      <c r="J208" s="37" t="n"/>
    </row>
    <row r="209" ht="15" customHeight="1" s="62">
      <c r="A209" s="54" t="n"/>
      <c r="B209" s="33" t="n"/>
      <c r="C209" s="34" t="n"/>
      <c r="D209" s="34" t="n"/>
      <c r="E209" s="35" t="n"/>
      <c r="F209" s="35" t="n"/>
      <c r="G209" s="41" t="n"/>
      <c r="H209" s="34" t="n"/>
      <c r="I209" s="36" t="n"/>
      <c r="J209" s="37" t="n"/>
    </row>
    <row r="210" ht="15" customHeight="1" s="62">
      <c r="A210" s="54" t="n"/>
      <c r="B210" s="33" t="n"/>
      <c r="C210" s="34" t="n"/>
      <c r="D210" s="34" t="n"/>
      <c r="E210" s="35" t="n"/>
      <c r="F210" s="35" t="n"/>
      <c r="G210" s="41" t="n"/>
      <c r="H210" s="34" t="n"/>
      <c r="I210" s="36" t="n"/>
      <c r="J210" s="37" t="n"/>
    </row>
    <row r="211" ht="15" customHeight="1" s="62">
      <c r="A211" s="54" t="n"/>
      <c r="B211" s="33" t="n"/>
      <c r="C211" s="34" t="n"/>
      <c r="D211" s="34" t="n"/>
      <c r="E211" s="35" t="n"/>
      <c r="F211" s="35" t="n"/>
      <c r="G211" s="41" t="n"/>
      <c r="H211" s="34" t="n"/>
      <c r="I211" s="36" t="n"/>
      <c r="J211" s="37" t="n"/>
    </row>
    <row r="212" ht="15" customHeight="1" s="62">
      <c r="A212" s="54" t="n"/>
      <c r="B212" s="33" t="n"/>
      <c r="C212" s="34" t="n"/>
      <c r="D212" s="34" t="n"/>
      <c r="E212" s="35" t="n"/>
      <c r="F212" s="35" t="n"/>
      <c r="G212" s="41" t="n"/>
      <c r="H212" s="34" t="n"/>
      <c r="I212" s="36" t="n"/>
      <c r="J212" s="37" t="n"/>
    </row>
    <row r="213" ht="15" customHeight="1" s="62">
      <c r="A213" s="54" t="n"/>
      <c r="B213" s="33" t="n"/>
      <c r="C213" s="34" t="n"/>
      <c r="D213" s="34" t="n"/>
      <c r="E213" s="35" t="n"/>
      <c r="F213" s="35" t="n"/>
      <c r="G213" s="41" t="n"/>
      <c r="H213" s="34" t="n"/>
      <c r="I213" s="36" t="n"/>
      <c r="J213" s="37" t="n"/>
    </row>
    <row r="214" ht="15" customHeight="1" s="62">
      <c r="A214" s="54" t="n"/>
      <c r="B214" s="33" t="n"/>
      <c r="C214" s="34" t="n"/>
      <c r="D214" s="34" t="n"/>
      <c r="E214" s="35" t="n"/>
      <c r="F214" s="35" t="n"/>
      <c r="G214" s="41" t="n"/>
      <c r="H214" s="34" t="n"/>
      <c r="I214" s="36" t="n"/>
      <c r="J214" s="37" t="n"/>
    </row>
    <row r="215" ht="15" customHeight="1" s="62">
      <c r="A215" s="54" t="n"/>
      <c r="B215" s="33" t="n"/>
      <c r="C215" s="34" t="n"/>
      <c r="D215" s="34" t="n"/>
      <c r="E215" s="35" t="n"/>
      <c r="F215" s="35" t="n"/>
      <c r="G215" s="41" t="n"/>
      <c r="H215" s="34" t="n"/>
      <c r="I215" s="36" t="n"/>
      <c r="J215" s="37" t="n"/>
    </row>
    <row r="216" ht="15" customHeight="1" s="62">
      <c r="A216" s="54" t="n"/>
      <c r="B216" s="33" t="n"/>
      <c r="C216" s="34" t="n"/>
      <c r="D216" s="34" t="n"/>
      <c r="E216" s="35" t="n"/>
      <c r="F216" s="35" t="n"/>
      <c r="G216" s="41" t="n"/>
      <c r="H216" s="34" t="n"/>
      <c r="I216" s="36" t="n"/>
      <c r="J216" s="37" t="n"/>
    </row>
    <row r="217" ht="15" customHeight="1" s="62">
      <c r="A217" s="54" t="n"/>
      <c r="B217" s="33" t="n"/>
      <c r="C217" s="34" t="n"/>
      <c r="D217" s="34" t="n"/>
      <c r="E217" s="35" t="n"/>
      <c r="F217" s="35" t="n"/>
      <c r="G217" s="41" t="n"/>
      <c r="H217" s="34" t="n"/>
      <c r="I217" s="36" t="n"/>
      <c r="J217" s="37" t="n"/>
    </row>
    <row r="218" ht="15" customHeight="1" s="62">
      <c r="A218" s="54" t="n"/>
      <c r="B218" s="33" t="n"/>
      <c r="C218" s="34" t="n"/>
      <c r="D218" s="34" t="n"/>
      <c r="E218" s="35" t="n"/>
      <c r="F218" s="35" t="n"/>
      <c r="G218" s="41" t="n"/>
      <c r="H218" s="34" t="n"/>
      <c r="I218" s="36" t="n"/>
      <c r="J218" s="37" t="n"/>
    </row>
    <row r="219" ht="15" customHeight="1" s="62">
      <c r="A219" s="54" t="n"/>
      <c r="B219" s="33" t="n"/>
      <c r="C219" s="34" t="n"/>
      <c r="D219" s="34" t="n"/>
      <c r="E219" s="35" t="n"/>
      <c r="F219" s="35" t="n"/>
      <c r="G219" s="41" t="n"/>
      <c r="H219" s="34" t="n"/>
      <c r="I219" s="36" t="n"/>
      <c r="J219" s="37" t="n"/>
    </row>
    <row r="220" ht="15" customHeight="1" s="62">
      <c r="A220" s="54">
        <f>IF(B220="","",DATE(YEAR(TODAY()),MATCH(B220,{"January","February","March","April","May","June","July","August","September","October","November","December"},0),1))</f>
        <v/>
      </c>
      <c r="B220" s="33" t="n"/>
      <c r="C220" s="34">
        <f>IF(B220="","","Monthly Rent Charge")</f>
        <v/>
      </c>
      <c r="D220" s="34" t="n"/>
      <c r="E220" s="35">
        <f>IF(C220="Monthly Rent Charge",$D$3,"")</f>
        <v/>
      </c>
      <c r="F220" s="35">
        <f>IF(C220="Monthly Rent Charge",$F$3,"")</f>
        <v/>
      </c>
      <c r="G220" s="41" t="n"/>
      <c r="H220" s="34" t="n"/>
      <c r="I220" s="36">
        <f>IF(A220="","",IF(C220="Payment Received",I219-IFERROR(G220,0),IF(C220="Monthly Rent Charge",I219+IFERROR(E220,0)+IFERROR(F220,0),I219)))</f>
        <v/>
      </c>
      <c r="J220" s="37" t="n"/>
    </row>
  </sheetData>
  <mergeCells count="3">
    <mergeCell ref="A1:J1"/>
    <mergeCell ref="A4:J4"/>
    <mergeCell ref="A2:J2"/>
  </mergeCells>
  <conditionalFormatting sqref="A6:H100">
    <cfRule type="expression" priority="9" dxfId="1">
      <formula>$C6="Monthly Rent Charge"</formula>
    </cfRule>
    <cfRule type="expression" priority="11" dxfId="0">
      <formula>$C6="Payment Received"</formula>
    </cfRule>
  </conditionalFormatting>
  <conditionalFormatting sqref="H3">
    <cfRule type="cellIs" priority="16" operator="lessThan" dxfId="3">
      <formula>0</formula>
    </cfRule>
    <cfRule type="cellIs" priority="17" operator="equal" dxfId="3">
      <formula>0</formula>
    </cfRule>
    <cfRule type="cellIs" priority="18" operator="greaterThan" dxfId="2">
      <formula>0</formula>
    </cfRule>
  </conditionalFormatting>
  <conditionalFormatting sqref="I6:I100">
    <cfRule type="cellIs" priority="13" operator="lessThan" dxfId="3">
      <formula>0</formula>
    </cfRule>
    <cfRule type="cellIs" priority="14" operator="equal" dxfId="3">
      <formula>0</formula>
    </cfRule>
    <cfRule type="cellIs" priority="15" operator="greaterThan" dxfId="2">
      <formula>0</formula>
    </cfRule>
  </conditionalFormatting>
  <conditionalFormatting sqref="J6:J100">
    <cfRule type="expression" priority="10" dxfId="1">
      <formula>$C6="Monthly Rent Charge"</formula>
    </cfRule>
    <cfRule type="expression" priority="12" dxfId="0">
      <formula>$C6="Payment Received"</formula>
    </cfRule>
  </conditionalFormatting>
  <dataValidations count="3">
    <dataValidation sqref="B6:B75" showDropDown="0" showInputMessage="0" showErrorMessage="0" allowBlank="1" type="list">
      <formula1>"January,February,March,April,May,June,July,August,September,October,November,December"</formula1>
      <formula2>0</formula2>
    </dataValidation>
    <dataValidation sqref="C6:C75" showDropDown="0" showInputMessage="0" showErrorMessage="0" allowBlank="1" type="list">
      <formula1>"Monthly Rent Charge,Payment Received"</formula1>
      <formula2>0</formula2>
    </dataValidation>
    <dataValidation sqref="A6:A220" showDropDown="0" showInputMessage="1" showErrorMessage="1" allowBlank="1" errorTitle="Invalid date" error="Please enter a valid date." promptTitle="Select a date" prompt="Use the date picker or enter a valid payment date here." type="date">
      <formula1>DATE(2000,1,1)</formula1>
      <formula2>DATE(2100,12,31)</formula2>
    </dataValidation>
  </dataValidations>
  <pageMargins left="0" right="0" top="0.7480314960629921" bottom="0.7480314960629921" header="0.3149606299212598" footer="0.3149606299212598"/>
  <pageSetup orientation="portrait" paperSize="9" scale="45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zoomScale="115" zoomScaleNormal="115" workbookViewId="0">
      <selection activeCell="H21" sqref="H21"/>
    </sheetView>
  </sheetViews>
  <sheetFormatPr baseColWidth="8" defaultColWidth="8.6640625" defaultRowHeight="14.4"/>
  <cols>
    <col width="14" customWidth="1" style="62" min="1" max="1"/>
    <col width="24" customWidth="1" style="62" min="3" max="3"/>
    <col width="11.5546875" customWidth="1" style="62" min="4" max="4"/>
    <col width="15" customWidth="1" style="62" min="5" max="5"/>
    <col width="17" customWidth="1" style="62" min="6" max="6"/>
    <col width="18" customWidth="1" style="62" min="7" max="7"/>
    <col width="22" customWidth="1" style="62" min="8" max="8"/>
    <col width="17" customWidth="1" style="62" min="9" max="9"/>
    <col width="30" customWidth="1" style="62" min="10" max="10"/>
    <col width="12" customWidth="1" style="62" min="11" max="11"/>
    <col width="10" customWidth="1" style="62" min="12" max="12"/>
  </cols>
  <sheetData>
    <row r="1" ht="19.5" customHeight="1" s="62">
      <c r="A1" s="74" t="inlineStr">
        <is>
          <t>Unit A3 — Tenant Statement / Ledger</t>
        </is>
      </c>
    </row>
    <row r="2" ht="27.75" customHeight="1" s="62">
      <c r="A2" s="76" t="inlineStr">
        <is>
          <t>Select a month to create a Monthly Rent Charge: the date fills as the first day of that month (current year) and description fills automatically. For a payment, leave Month blank and choose Payment Received.</t>
        </is>
      </c>
    </row>
    <row r="3" ht="15" customHeight="1" s="62">
      <c r="A3" s="25" t="inlineStr">
        <is>
          <t>Unit</t>
        </is>
      </c>
      <c r="B3" s="25" t="inlineStr">
        <is>
          <t>A3</t>
        </is>
      </c>
      <c r="C3" s="25" t="inlineStr">
        <is>
          <t>Current Rent</t>
        </is>
      </c>
      <c r="D3" s="26" t="n">
        <v>4500</v>
      </c>
      <c r="E3" s="26" t="inlineStr">
        <is>
          <t>Garbage</t>
        </is>
      </c>
      <c r="F3" s="26" t="n">
        <v>200</v>
      </c>
      <c r="G3" s="25" t="inlineStr">
        <is>
          <t>Current Balance</t>
        </is>
      </c>
      <c r="H3" s="27">
        <f>IFERROR(LOOKUP(9.99E+307,I6:I33),0)</f>
        <v/>
      </c>
      <c r="I3" s="25" t="inlineStr">
        <is>
          <t>Tenant</t>
        </is>
      </c>
      <c r="J3" s="28" t="inlineStr">
        <is>
          <t>Shaline Chepkirui/HILARY</t>
        </is>
      </c>
      <c r="K3" s="29" t="inlineStr">
        <is>
          <t>Deposit Held</t>
        </is>
      </c>
      <c r="L3" s="30" t="n">
        <v>4500</v>
      </c>
    </row>
    <row r="4">
      <c r="A4" s="75" t="inlineStr">
        <is>
          <t>Current tenant only. When vacating → copy rows to Archive sheet, then clear this ledger.</t>
        </is>
      </c>
    </row>
    <row r="5" ht="15" customHeight="1" s="62">
      <c r="A5" s="31" t="inlineStr">
        <is>
          <t>Date</t>
        </is>
      </c>
      <c r="B5" s="31" t="inlineStr">
        <is>
          <t>Month</t>
        </is>
      </c>
      <c r="C5" s="31" t="inlineStr">
        <is>
          <t>Description</t>
        </is>
      </c>
      <c r="D5" s="31" t="inlineStr">
        <is>
          <t>Tenant</t>
        </is>
      </c>
      <c r="E5" s="31" t="inlineStr">
        <is>
          <t>Rent Charged</t>
        </is>
      </c>
      <c r="F5" s="31" t="inlineStr">
        <is>
          <t>Garbage Charged</t>
        </is>
      </c>
      <c r="G5" s="31" t="inlineStr">
        <is>
          <t>Payment Received</t>
        </is>
      </c>
      <c r="H5" s="31" t="inlineStr">
        <is>
          <t>M-Pesa Reference</t>
        </is>
      </c>
      <c r="I5" s="31" t="inlineStr">
        <is>
          <t>Running Balance</t>
        </is>
      </c>
      <c r="J5" s="31" t="inlineStr">
        <is>
          <t>Remarks</t>
        </is>
      </c>
    </row>
    <row r="6" ht="15" customHeight="1" s="62">
      <c r="A6" s="54">
        <f>IF(B6="","",DATE(YEAR(TODAY()),MATCH(B6,{"January","February","March","April","May","June","July","August","September","October","November","December"},0),1))</f>
        <v/>
      </c>
      <c r="B6" s="33" t="inlineStr">
        <is>
          <t>January</t>
        </is>
      </c>
      <c r="C6" s="34">
        <f>IF(B6="","","Monthly Rent Charge")</f>
        <v/>
      </c>
      <c r="D6" s="34" t="n"/>
      <c r="E6" s="35">
        <f>IF(C6="Monthly Rent Charge",$D$3,"")</f>
        <v/>
      </c>
      <c r="F6" s="35">
        <f>IF(C6="Monthly Rent Charge",$F$3,"")</f>
        <v/>
      </c>
      <c r="G6" s="41" t="n"/>
      <c r="H6" s="34" t="n"/>
      <c r="I6" s="36">
        <f>IF(A6="","",IF(C6="Payment Received",-IFERROR(G6,0),IF(C6="Monthly Rent Charge",IFERROR(E6,0)+IFERROR(F6,0),0)))</f>
        <v/>
      </c>
      <c r="J6" s="37" t="inlineStr">
        <is>
          <t>Depo c/f from previous tenant</t>
        </is>
      </c>
    </row>
    <row r="7" ht="15" customHeight="1" s="62">
      <c r="A7" s="53" t="n">
        <v>46035</v>
      </c>
      <c r="B7" s="33" t="n"/>
      <c r="C7" s="34" t="inlineStr">
        <is>
          <t>Payment Received</t>
        </is>
      </c>
      <c r="D7" s="34" t="n"/>
      <c r="E7" s="35">
        <f>IF(C7="Monthly Rent Charge",$D$3,"")</f>
        <v/>
      </c>
      <c r="F7" s="35">
        <f>IF(C7="Monthly Rent Charge",$F$3,"")</f>
        <v/>
      </c>
      <c r="G7" s="41" t="n">
        <v>4500</v>
      </c>
      <c r="H7" t="inlineStr">
        <is>
          <t>UADFU3JC98</t>
        </is>
      </c>
      <c r="I7" s="36">
        <f>IF(A7="","",IF(C7="Payment Received",I6-IFERROR(G7,0),IF(C7="Monthly Rent Charge",I6+IFERROR(E7,0)+IFERROR(F7,0),I6)))</f>
        <v/>
      </c>
      <c r="J7" s="37" t="n"/>
    </row>
    <row r="8" ht="15" customHeight="1" s="62">
      <c r="A8" s="54">
        <f>IF(B8="","",DATE(YEAR(TODAY()),MATCH(B8,{"January","February","March","April","May","June","July","August","September","October","November","December"},0),1))</f>
        <v/>
      </c>
      <c r="B8" s="33" t="inlineStr">
        <is>
          <t>February</t>
        </is>
      </c>
      <c r="C8" s="34">
        <f>IF(B8="","","Monthly Rent Charge")</f>
        <v/>
      </c>
      <c r="D8" s="34" t="n"/>
      <c r="E8" s="35">
        <f>IF(C8="Monthly Rent Charge",$D$3,"")</f>
        <v/>
      </c>
      <c r="F8" s="35">
        <f>IF(C8="Monthly Rent Charge",$F$3,"")</f>
        <v/>
      </c>
      <c r="G8" s="41" t="n"/>
      <c r="H8" s="34" t="n"/>
      <c r="I8" s="36">
        <f>IF(A8="","",IF(C8="Payment Received",I7-IFERROR(G8,0),IF(C8="Monthly Rent Charge",I7+IFERROR(E8,0)+IFERROR(F8,0),I7)))</f>
        <v/>
      </c>
      <c r="J8" s="37" t="n"/>
    </row>
    <row r="9" ht="15" customHeight="1" s="62">
      <c r="A9" s="53" t="n">
        <v>46061</v>
      </c>
      <c r="B9" s="33" t="n"/>
      <c r="C9" s="34" t="inlineStr">
        <is>
          <t>Payment Received</t>
        </is>
      </c>
      <c r="D9" s="34" t="n"/>
      <c r="E9" s="35">
        <f>IF(C9="Monthly Rent Charge",$D$3,"")</f>
        <v/>
      </c>
      <c r="F9" s="35">
        <f>IF(C9="Monthly Rent Charge",$F$3,"")</f>
        <v/>
      </c>
      <c r="G9" s="41" t="n">
        <v>4500</v>
      </c>
      <c r="H9" s="39" t="inlineStr">
        <is>
          <t>UB8F264RJM</t>
        </is>
      </c>
      <c r="I9" s="36">
        <f>IF(A9="","",IF(C9="Payment Received",I8-IFERROR(G9,0),IF(C9="Monthly Rent Charge",I8+IFERROR(E9,0)+IFERROR(F9,0),I8)))</f>
        <v/>
      </c>
      <c r="J9" s="37" t="n"/>
    </row>
    <row r="10" ht="15" customHeight="1" s="62">
      <c r="A10" s="54">
        <f>IF(B10="","",DATE(YEAR(TODAY()),MATCH(B10,{"January","February","March","April","May","June","July","August","September","October","November","December"},0),1))</f>
        <v/>
      </c>
      <c r="B10" s="33" t="inlineStr">
        <is>
          <t>March</t>
        </is>
      </c>
      <c r="C10" s="34">
        <f>IF(B10="","","Monthly Rent Charge")</f>
        <v/>
      </c>
      <c r="D10" s="34" t="n"/>
      <c r="E10" s="35">
        <f>IF(C10="Monthly Rent Charge",$D$3,"")</f>
        <v/>
      </c>
      <c r="F10" s="35">
        <f>IF(C10="Monthly Rent Charge",$F$3,"")</f>
        <v/>
      </c>
      <c r="G10" s="41" t="n"/>
      <c r="H10" s="34" t="n"/>
      <c r="I10" s="36">
        <f>IF(A10="","",IF(C10="Payment Received",I9-IFERROR(G10,0),IF(C10="Monthly Rent Charge",I9+IFERROR(E10,0)+IFERROR(F10,0),I9)))</f>
        <v/>
      </c>
      <c r="J10" s="37" t="n"/>
    </row>
    <row r="11" ht="15" customHeight="1" s="62">
      <c r="A11" s="53" t="n">
        <v>46088</v>
      </c>
      <c r="B11" s="33" t="n"/>
      <c r="C11" s="34" t="inlineStr">
        <is>
          <t>Payment Received</t>
        </is>
      </c>
      <c r="D11" s="34" t="n"/>
      <c r="E11" s="35">
        <f>IF(C11="Monthly Rent Charge",$D$3,"")</f>
        <v/>
      </c>
      <c r="F11" s="35" t="n"/>
      <c r="G11" s="41" t="n">
        <v>5100</v>
      </c>
      <c r="H11" s="39" t="inlineStr">
        <is>
          <t>UC7O98C3B3</t>
        </is>
      </c>
      <c r="I11" s="36">
        <f>IF(A11="","",IF(C11="Payment Received",I10-IFERROR(G11,0),IF(C11="Monthly Rent Charge",I10+IFERROR(E11,0)+IFERROR(F11,0),I10)))</f>
        <v/>
      </c>
      <c r="J11" s="37" t="n"/>
    </row>
    <row r="12" ht="15" customHeight="1" s="62">
      <c r="A12" s="54">
        <f>IF(B12="","",DATE(YEAR(TODAY()),MATCH(B12,{"January","February","March","April","May","June","July","August","September","October","November","December"},0),1))</f>
        <v/>
      </c>
      <c r="B12" s="33" t="inlineStr">
        <is>
          <t>April</t>
        </is>
      </c>
      <c r="C12" s="34">
        <f>IF(B12="","","Monthly Rent Charge")</f>
        <v/>
      </c>
      <c r="D12" s="34" t="n"/>
      <c r="E12" s="35">
        <f>IF(C12="Monthly Rent Charge",$D$3,"")</f>
        <v/>
      </c>
      <c r="F12" s="35">
        <f>IF(C12="Monthly Rent Charge",$F$3,"")</f>
        <v/>
      </c>
      <c r="G12" s="41" t="n"/>
      <c r="H12" s="34" t="n"/>
      <c r="I12" s="36">
        <f>IF(A12="","",IF(C12="Payment Received",I11-IFERROR(G12,0),IF(C12="Monthly Rent Charge",I11+IFERROR(E12,0)+IFERROR(F12,0),I11)))</f>
        <v/>
      </c>
      <c r="J12" s="37" t="n"/>
    </row>
    <row r="13" ht="15" customHeight="1" s="62">
      <c r="A13" s="53" t="n">
        <v>46130</v>
      </c>
      <c r="B13" s="33" t="n"/>
      <c r="C13" s="34" t="inlineStr">
        <is>
          <t>Payment Received</t>
        </is>
      </c>
      <c r="D13" s="34" t="n"/>
      <c r="E13" s="35">
        <f>IF(C13="Monthly Rent Charge",$D$3,"")</f>
        <v/>
      </c>
      <c r="F13" s="35">
        <f>IF(C13="Monthly Rent Charge",$F$3,"")</f>
        <v/>
      </c>
      <c r="G13" s="41" t="n">
        <v>4700</v>
      </c>
      <c r="H13" s="39" t="inlineStr">
        <is>
          <t>UDIFU11SD2</t>
        </is>
      </c>
      <c r="I13" s="36">
        <f>IF(A13="","",IF(C13="Payment Received",I12-IFERROR(G13,0),IF(C13="Monthly Rent Charge",I12+IFERROR(E13,0)+IFERROR(F13,0),I12)))</f>
        <v/>
      </c>
      <c r="J13" s="37" t="n"/>
    </row>
    <row r="14" ht="15" customHeight="1" s="62">
      <c r="A14" s="54">
        <f>IF(B14="","",DATE(YEAR(TODAY()),MATCH(B14,{"January","February","March","April","May","June","July","August","September","October","November","December"},0),1))</f>
        <v/>
      </c>
      <c r="B14" s="33" t="inlineStr">
        <is>
          <t>May</t>
        </is>
      </c>
      <c r="C14" s="34">
        <f>IF(B14="","","Monthly Rent Charge")</f>
        <v/>
      </c>
      <c r="D14" s="34" t="n"/>
      <c r="E14" s="35">
        <f>IF(C14="Monthly Rent Charge",$D$3,"")</f>
        <v/>
      </c>
      <c r="F14" s="35">
        <f>IF(C14="Monthly Rent Charge",$F$3,"")</f>
        <v/>
      </c>
      <c r="G14" s="41" t="n"/>
      <c r="H14" s="34" t="n"/>
      <c r="I14" s="36">
        <f>IF(AND(A14="",C14=""),"",IF(C14="Payment Received",I13-IFERROR(G14,0),IF(C14="Monthly Rent Charge",I13+IFERROR(E14,0)+IFERROR(F14,0),I13)))</f>
        <v/>
      </c>
      <c r="J14" s="37" t="n"/>
    </row>
    <row r="15" ht="15" customHeight="1" s="62">
      <c r="A15" s="54" t="n">
        <v>46158</v>
      </c>
      <c r="B15" s="33" t="n"/>
      <c r="C15" s="34" t="inlineStr">
        <is>
          <t>Payment Received</t>
        </is>
      </c>
      <c r="D15" s="34" t="n"/>
      <c r="E15" s="35">
        <f>IF(C15="Monthly Rent Charge",$D$3,"")</f>
        <v/>
      </c>
      <c r="F15" s="35">
        <f>IF(C15="Monthly Rent Charge",$F$3,"")</f>
        <v/>
      </c>
      <c r="G15" s="41" t="n">
        <v>4700</v>
      </c>
      <c r="H15" s="34" t="inlineStr">
        <is>
          <t>UEGF24H7JL</t>
        </is>
      </c>
      <c r="I15" s="36">
        <f>IF(AND(A15="",C15=""),"",IF(C15="Payment Received",I14-IFERROR(G15,0),IF(C15="Monthly Rent Charge",I14+IFERROR(E15,0)+IFERROR(F15,0),I14)))</f>
        <v/>
      </c>
      <c r="J15" s="37" t="n"/>
    </row>
    <row r="16" ht="15" customHeight="1" s="62">
      <c r="A16" s="54">
        <f>IF(B16="","",DATE(YEAR(TODAY()),MATCH(B16,{"January","February","March","April","May","June","July","August","September","October","November","December"},0),1))</f>
        <v/>
      </c>
      <c r="B16" s="33" t="inlineStr">
        <is>
          <t>June</t>
        </is>
      </c>
      <c r="C16" s="34">
        <f>IF(B16="","","Monthly Rent Charge")</f>
        <v/>
      </c>
      <c r="D16" s="34" t="n"/>
      <c r="E16" s="35">
        <f>IF(C16="Monthly Rent Charge",$D$3,"")</f>
        <v/>
      </c>
      <c r="F16" s="35">
        <f>IF(C16="Monthly Rent Charge",$F$3,"")</f>
        <v/>
      </c>
      <c r="G16" s="41" t="n"/>
      <c r="H16" s="34" t="n"/>
      <c r="I16" s="36">
        <f>IF(AND(A16="",C16=""),"",IF(C16="Payment Received",I15-IFERROR(G16,0),IF(C16="Monthly Rent Charge",I15+IFERROR(E16,0)+IFERROR(F16,0),I15)))</f>
        <v/>
      </c>
      <c r="J16" s="37" t="n"/>
    </row>
    <row r="17" ht="15" customHeight="1" s="62">
      <c r="A17" s="54" t="n">
        <v>46194</v>
      </c>
      <c r="B17" s="33" t="n"/>
      <c r="C17" s="34" t="inlineStr">
        <is>
          <t>Payment Received</t>
        </is>
      </c>
      <c r="D17" s="34" t="n"/>
      <c r="E17" s="35">
        <f>IF(C17="Monthly Rent Charge",$D$3,"")</f>
        <v/>
      </c>
      <c r="F17" s="35">
        <f>IF(C17="Monthly Rent Charge",$F$3,"")</f>
        <v/>
      </c>
      <c r="G17" s="41" t="n">
        <v>4700</v>
      </c>
      <c r="H17" s="34" t="inlineStr">
        <is>
          <t>UF11FU89MKJ</t>
        </is>
      </c>
      <c r="I17" s="36">
        <f>IF(AND(A17="",C17=""),"",IF(C17="Payment Received",I16-IFERROR(G17,0),IF(C17="Monthly Rent Charge",I16+IFERROR(E17,0)+IFERROR(F17,0),I16)))</f>
        <v/>
      </c>
      <c r="J17" s="37" t="n"/>
    </row>
    <row r="18" ht="15" customHeight="1" s="62">
      <c r="A18" s="54">
        <f>IF(B18="","",DATE(YEAR(TODAY()),MATCH(B18,{"January","February","March","April","May","June","July","August","September","October","November","December"},0),1))</f>
        <v/>
      </c>
      <c r="B18" s="33" t="inlineStr">
        <is>
          <t>July</t>
        </is>
      </c>
      <c r="C18" s="34">
        <f>IF(B18="","","Monthly Rent Charge")</f>
        <v/>
      </c>
      <c r="D18" s="34" t="n"/>
      <c r="E18" s="35">
        <f>IF(C18="Monthly Rent Charge",$D$3,"")</f>
        <v/>
      </c>
      <c r="F18" s="35">
        <f>IF(C18="Monthly Rent Charge",$F$3,"")</f>
        <v/>
      </c>
      <c r="G18" s="41" t="n"/>
      <c r="H18" s="34" t="n"/>
      <c r="I18" s="36">
        <f>IF(AND(A18="",C18=""),"",IF(C18="Payment Received",I17-IFERROR(G18,0),IF(C18="Monthly Rent Charge",I17+IFERROR(E18,0)+IFERROR(F18,0),I17)))</f>
        <v/>
      </c>
      <c r="J18" s="37" t="n"/>
    </row>
    <row r="19" ht="15" customHeight="1" s="62">
      <c r="A19" s="54" t="n">
        <v>46231</v>
      </c>
      <c r="B19" s="33" t="n"/>
      <c r="C19" s="34" t="inlineStr">
        <is>
          <t>Payment Received</t>
        </is>
      </c>
      <c r="D19" s="34" t="n"/>
      <c r="E19" s="35">
        <f>IF(C19="Monthly Rent Charge",$D$3,"")</f>
        <v/>
      </c>
      <c r="F19" s="35">
        <f>IF(C19="Monthly Rent Charge",$F$3,"")</f>
        <v/>
      </c>
      <c r="G19" s="41" t="n">
        <v>4700</v>
      </c>
      <c r="H19" s="34" t="inlineStr">
        <is>
          <t>UGSF20TNYT</t>
        </is>
      </c>
      <c r="I19" s="36">
        <f>IF(AND(A19="",C19=""),"",IF(C19="Payment Received",I18-IFERROR(G19,0),IF(C19="Monthly Rent Charge",I18+IFERROR(E19,0)+IFERROR(F19,0),IFERROR(I18,0))))</f>
        <v/>
      </c>
      <c r="J19" s="37" t="n"/>
    </row>
    <row r="20" ht="15" customHeight="1" s="62">
      <c r="A20" s="54">
        <f>IF(B20="","",DATE(YEAR(TODAY()),MATCH(B20,{"January","February","March","April","May","June","July","August","September","October","November","December"},0),1))</f>
        <v/>
      </c>
      <c r="B20" s="33" t="inlineStr">
        <is>
          <t>August</t>
        </is>
      </c>
      <c r="C20" s="34">
        <f>IF(B20="","","Monthly Rent Charge")</f>
        <v/>
      </c>
      <c r="D20" s="34" t="n"/>
      <c r="E20" s="35">
        <f>IF(C20="Monthly Rent Charge",$D$3,"")</f>
        <v/>
      </c>
      <c r="F20" s="35">
        <f>IF(C20="Monthly Rent Charge",$F$3,"")</f>
        <v/>
      </c>
      <c r="G20" s="41" t="n"/>
      <c r="H20" s="34" t="n"/>
      <c r="I20" s="36">
        <f>IF(AND(A20="",C20=""),"",IF(C20="Payment Received",I19-IFERROR(G20,0),IF(C20="Monthly Rent Charge",I19+IFERROR(E20,0)+IFERROR(F20,0),IFERROR(I19,0))))</f>
        <v/>
      </c>
      <c r="J20" s="37" t="n"/>
    </row>
    <row r="21" ht="15" customHeight="1" s="62">
      <c r="A21" s="54" t="n">
        <v>46258</v>
      </c>
      <c r="B21" s="33" t="n"/>
      <c r="C21" s="34" t="inlineStr">
        <is>
          <t>Payment Received</t>
        </is>
      </c>
      <c r="D21" s="34" t="n"/>
      <c r="E21" s="35">
        <f>IF(C21="Monthly Rent Charge",$D$3,"")</f>
        <v/>
      </c>
      <c r="F21" s="35">
        <f>IF(C21="Monthly Rent Charge",$F$3,"")</f>
        <v/>
      </c>
      <c r="G21" s="41" t="n">
        <v>4700</v>
      </c>
      <c r="H21" s="34" t="inlineStr">
        <is>
          <t>UHOF23XZXA</t>
        </is>
      </c>
      <c r="I21" s="36">
        <f>IF(AND(A21="",C21=""),"",IF(C21="Payment Received",I20-IFERROR(G21,0),IF(C21="Monthly Rent Charge",I20+IFERROR(E21,0)+IFERROR(F21,0),IFERROR(I20,0))))</f>
        <v/>
      </c>
      <c r="J21" s="37" t="n"/>
    </row>
    <row r="22" ht="15" customHeight="1" s="62">
      <c r="A22" s="54">
        <f>IF(B22="","",DATE(YEAR(TODAY()),MATCH(B22,{"January","February","March","April","May","June","July","August","September","October","November","December"},0),1))</f>
        <v/>
      </c>
      <c r="B22" s="33" t="n"/>
      <c r="C22" s="34">
        <f>IF(B22="","","Monthly Rent Charge")</f>
        <v/>
      </c>
      <c r="D22" s="34" t="n"/>
      <c r="E22" s="35">
        <f>IF(C22="Monthly Rent Charge",$D$3,"")</f>
        <v/>
      </c>
      <c r="F22" s="35">
        <f>IF(C22="Monthly Rent Charge",$F$3,"")</f>
        <v/>
      </c>
      <c r="G22" s="41" t="n"/>
      <c r="H22" s="34" t="n"/>
      <c r="I22" s="36">
        <f>IF(AND(A22="",C22=""),"",IF(C22="Payment Received",I21-IFERROR(G22,0),IF(C22="Monthly Rent Charge",I21+IFERROR(E22,0)+IFERROR(F22,0),IFERROR(I21,0))))</f>
        <v/>
      </c>
      <c r="J22" s="37" t="n"/>
    </row>
    <row r="23" ht="15" customHeight="1" s="62">
      <c r="A23" s="54">
        <f>IF(B23="","",DATE(YEAR(TODAY()),MATCH(B23,{"January","February","March","April","May","June","July","August","September","October","November","December"},0),1))</f>
        <v/>
      </c>
      <c r="B23" s="33" t="n"/>
      <c r="C23" s="34">
        <f>IF(B23="","","Monthly Rent Charge")</f>
        <v/>
      </c>
      <c r="D23" s="34" t="n"/>
      <c r="E23" s="35">
        <f>IF(C23="Monthly Rent Charge",$D$3,"")</f>
        <v/>
      </c>
      <c r="F23" s="35">
        <f>IF(C23="Monthly Rent Charge",$F$3,"")</f>
        <v/>
      </c>
      <c r="G23" s="41" t="n"/>
      <c r="H23" s="34" t="n"/>
      <c r="I23" s="36">
        <f>IF(AND(A23="",C23=""),"",IF(C23="Payment Received",I22-IFERROR(G23,0),IF(C23="Monthly Rent Charge",I22+IFERROR(E23,0)+IFERROR(F23,0),IFERROR(I22,0))))</f>
        <v/>
      </c>
      <c r="J23" s="37" t="n"/>
    </row>
    <row r="24" ht="15" customHeight="1" s="62">
      <c r="A24" s="54">
        <f>IF(B24="","",DATE(YEAR(TODAY()),MATCH(B24,{"January","February","March","April","May","June","July","August","September","October","November","December"},0),1))</f>
        <v/>
      </c>
      <c r="B24" s="33" t="n"/>
      <c r="C24" s="34">
        <f>IF(B24="","","Monthly Rent Charge")</f>
        <v/>
      </c>
      <c r="D24" s="34" t="n"/>
      <c r="E24" s="35">
        <f>IF(C24="Monthly Rent Charge",$D$3,"")</f>
        <v/>
      </c>
      <c r="F24" s="35">
        <f>IF(C24="Monthly Rent Charge",$F$3,"")</f>
        <v/>
      </c>
      <c r="G24" s="41" t="n"/>
      <c r="H24" s="34" t="n"/>
      <c r="I24" s="36">
        <f>IF(AND(A24="",C24=""),"",IF(C24="Payment Received",I23-IFERROR(G24,0),IF(C24="Monthly Rent Charge",I23+IFERROR(E24,0)+IFERROR(F24,0),IFERROR(I23,0))))</f>
        <v/>
      </c>
      <c r="J24" s="37" t="n"/>
    </row>
    <row r="25" ht="15" customHeight="1" s="62">
      <c r="A25" s="54">
        <f>IF(B25="","",DATE(YEAR(TODAY()),MATCH(B25,{"January","February","March","April","May","June","July","August","September","October","November","December"},0),1))</f>
        <v/>
      </c>
      <c r="B25" s="33" t="n"/>
      <c r="C25" s="34">
        <f>IF(B25="","","Monthly Rent Charge")</f>
        <v/>
      </c>
      <c r="D25" s="34" t="n"/>
      <c r="E25" s="35">
        <f>IF(C25="Monthly Rent Charge",$D$3,"")</f>
        <v/>
      </c>
      <c r="F25" s="35">
        <f>IF(C25="Monthly Rent Charge",$F$3,"")</f>
        <v/>
      </c>
      <c r="G25" s="41" t="n"/>
      <c r="H25" s="34" t="n"/>
      <c r="I25" s="36">
        <f>IF(AND(A25="",C25=""),"",IF(C25="Payment Received",I24-IFERROR(G25,0),IF(C25="Monthly Rent Charge",I24+IFERROR(E25,0)+IFERROR(F25,0),IFERROR(I24,0))))</f>
        <v/>
      </c>
      <c r="J25" s="37" t="n"/>
    </row>
    <row r="26" ht="15" customHeight="1" s="62">
      <c r="A26" s="54">
        <f>IF(B26="","",DATE(YEAR(TODAY()),MATCH(B26,{"January","February","March","April","May","June","July","August","September","October","November","December"},0),1))</f>
        <v/>
      </c>
      <c r="B26" s="33" t="n"/>
      <c r="C26" s="34">
        <f>IF(B26="","","Monthly Rent Charge")</f>
        <v/>
      </c>
      <c r="D26" s="34" t="n"/>
      <c r="E26" s="35">
        <f>IF(C26="Monthly Rent Charge",$D$3,"")</f>
        <v/>
      </c>
      <c r="F26" s="35">
        <f>IF(C26="Monthly Rent Charge",$F$3,"")</f>
        <v/>
      </c>
      <c r="G26" s="41" t="n"/>
      <c r="H26" s="34" t="n"/>
      <c r="I26" s="36">
        <f>IF(AND(A26="",C26=""),"",IF(C26="Payment Received",I25-IFERROR(G26,0),IF(C26="Monthly Rent Charge",I25+IFERROR(E26,0)+IFERROR(F26,0),IFERROR(I25,0))))</f>
        <v/>
      </c>
      <c r="J26" s="37" t="n"/>
    </row>
    <row r="27" ht="15" customHeight="1" s="62">
      <c r="A27" s="54">
        <f>IF(B27="","",DATE(YEAR(TODAY()),MATCH(B27,{"January","February","March","April","May","June","July","August","September","October","November","December"},0),1))</f>
        <v/>
      </c>
      <c r="B27" s="33" t="n"/>
      <c r="C27" s="34">
        <f>IF(B27="","","Monthly Rent Charge")</f>
        <v/>
      </c>
      <c r="D27" s="34" t="n"/>
      <c r="E27" s="35">
        <f>IF(C27="Monthly Rent Charge",$D$3,"")</f>
        <v/>
      </c>
      <c r="F27" s="35">
        <f>IF(C27="Monthly Rent Charge",$F$3,"")</f>
        <v/>
      </c>
      <c r="G27" s="41" t="n"/>
      <c r="H27" s="34" t="n"/>
      <c r="I27" s="36">
        <f>IF(AND(A27="",C27=""),"",IF(C27="Payment Received",I26-IFERROR(G27,0),IF(C27="Monthly Rent Charge",I26+IFERROR(E27,0)+IFERROR(F27,0),IFERROR(I26,0))))</f>
        <v/>
      </c>
      <c r="J27" s="37" t="n"/>
    </row>
    <row r="28" ht="15" customHeight="1" s="62">
      <c r="A28" s="54">
        <f>IF(B28="","",DATE(YEAR(TODAY()),MATCH(B28,{"January","February","March","April","May","June","July","August","September","October","November","December"},0),1))</f>
        <v/>
      </c>
      <c r="B28" s="33" t="n"/>
      <c r="C28" s="34">
        <f>IF(B28="","","Monthly Rent Charge")</f>
        <v/>
      </c>
      <c r="D28" s="34" t="n"/>
      <c r="E28" s="35">
        <f>IF(C28="Monthly Rent Charge",$D$3,"")</f>
        <v/>
      </c>
      <c r="F28" s="35">
        <f>IF(C28="Monthly Rent Charge",$F$3,"")</f>
        <v/>
      </c>
      <c r="G28" s="41" t="n"/>
      <c r="H28" s="34" t="n"/>
      <c r="I28" s="36">
        <f>IF(AND(A28="",C28=""),"",IF(C28="Payment Received",I27-IFERROR(G28,0),IF(C28="Monthly Rent Charge",I27+IFERROR(E28,0)+IFERROR(F28,0),IFERROR(I27,0))))</f>
        <v/>
      </c>
      <c r="J28" s="37" t="n"/>
    </row>
    <row r="29" ht="15" customHeight="1" s="62">
      <c r="A29" s="54">
        <f>IF(B29="","",DATE(YEAR(TODAY()),MATCH(B29,{"January","February","March","April","May","June","July","August","September","October","November","December"},0),1))</f>
        <v/>
      </c>
      <c r="B29" s="33" t="n"/>
      <c r="C29" s="34">
        <f>IF(B29="","","Monthly Rent Charge")</f>
        <v/>
      </c>
      <c r="D29" s="34" t="n"/>
      <c r="E29" s="35">
        <f>IF(C29="Monthly Rent Charge",$D$3,"")</f>
        <v/>
      </c>
      <c r="F29" s="35">
        <f>IF(C29="Monthly Rent Charge",$F$3,"")</f>
        <v/>
      </c>
      <c r="G29" s="41" t="n"/>
      <c r="H29" s="34" t="n"/>
      <c r="I29" s="36">
        <f>IF(AND(A29="",C29=""),"",IF(C29="Payment Received",I28-IFERROR(G29,0),IF(C29="Monthly Rent Charge",I28+IFERROR(E29,0)+IFERROR(F29,0),IFERROR(I28,0))))</f>
        <v/>
      </c>
      <c r="J29" s="37" t="n"/>
    </row>
    <row r="30" ht="15" customHeight="1" s="62">
      <c r="A30" s="54">
        <f>IF(B30="","",DATE(YEAR(TODAY()),MATCH(B30,{"January","February","March","April","May","June","July","August","September","October","November","December"},0),1))</f>
        <v/>
      </c>
      <c r="B30" s="33" t="n"/>
      <c r="C30" s="34">
        <f>IF(B30="","","Monthly Rent Charge")</f>
        <v/>
      </c>
      <c r="D30" s="34" t="n"/>
      <c r="E30" s="35">
        <f>IF(C30="Monthly Rent Charge",$D$3,"")</f>
        <v/>
      </c>
      <c r="F30" s="35">
        <f>IF(C30="Monthly Rent Charge",$F$3,"")</f>
        <v/>
      </c>
      <c r="G30" s="41" t="n"/>
      <c r="H30" s="34" t="n"/>
      <c r="I30" s="36">
        <f>IF(AND(A30="",C30=""),"",IF(C30="Payment Received",I29-IFERROR(G30,0),IF(C30="Monthly Rent Charge",I29+IFERROR(E30,0)+IFERROR(F30,0),IFERROR(I29,0))))</f>
        <v/>
      </c>
      <c r="J30" s="37" t="n"/>
    </row>
    <row r="31" ht="15" customHeight="1" s="62">
      <c r="A31" s="54">
        <f>IF(B31="","",DATE(YEAR(TODAY()),MATCH(B31,{"January","February","March","April","May","June","July","August","September","October","November","December"},0),1))</f>
        <v/>
      </c>
      <c r="B31" s="33" t="n"/>
      <c r="C31" s="34">
        <f>IF(B31="","","Monthly Rent Charge")</f>
        <v/>
      </c>
      <c r="D31" s="34" t="n"/>
      <c r="E31" s="35">
        <f>IF(C31="Monthly Rent Charge",$D$3,"")</f>
        <v/>
      </c>
      <c r="F31" s="35">
        <f>IF(C31="Monthly Rent Charge",$F$3,"")</f>
        <v/>
      </c>
      <c r="G31" s="41" t="n"/>
      <c r="H31" s="34" t="n"/>
      <c r="I31" s="36">
        <f>IF(AND(A31="",C31=""),"",IF(C31="Payment Received",I30-IFERROR(G31,0),IF(C31="Monthly Rent Charge",I30+IFERROR(E31,0)+IFERROR(F31,0),IFERROR(I30,0))))</f>
        <v/>
      </c>
      <c r="J31" s="37" t="n"/>
    </row>
    <row r="32" ht="15" customHeight="1" s="62">
      <c r="A32" s="54">
        <f>IF(B32="","",DATE(YEAR(TODAY()),MATCH(B32,{"January","February","March","April","May","June","July","August","September","October","November","December"},0),1))</f>
        <v/>
      </c>
      <c r="B32" s="33" t="n"/>
      <c r="C32" s="34">
        <f>IF(B32="","","Monthly Rent Charge")</f>
        <v/>
      </c>
      <c r="D32" s="34" t="n"/>
      <c r="E32" s="35">
        <f>IF(C32="Monthly Rent Charge",$D$3,"")</f>
        <v/>
      </c>
      <c r="F32" s="35">
        <f>IF(C32="Monthly Rent Charge",$F$3,"")</f>
        <v/>
      </c>
      <c r="G32" s="41" t="n"/>
      <c r="H32" s="34" t="n"/>
      <c r="I32" s="36">
        <f>IF(AND(A32="",C32=""),"",IF(C32="Payment Received",I31-IFERROR(G32,0),IF(C32="Monthly Rent Charge",I31+IFERROR(E32,0)+IFERROR(F32,0),IFERROR(I31,0))))</f>
        <v/>
      </c>
      <c r="J32" s="37" t="n"/>
    </row>
    <row r="33" ht="15" customHeight="1" s="62">
      <c r="A33" s="54">
        <f>IF(B33="","",DATE(YEAR(TODAY()),MATCH(B33,{"January","February","March","April","May","June","July","August","September","October","November","December"},0),1))</f>
        <v/>
      </c>
      <c r="B33" s="33" t="n"/>
      <c r="C33" s="34">
        <f>IF(B33="","","Monthly Rent Charge")</f>
        <v/>
      </c>
      <c r="D33" s="34" t="n"/>
      <c r="E33" s="35">
        <f>IF(C33="Monthly Rent Charge",$D$3,"")</f>
        <v/>
      </c>
      <c r="F33" s="35">
        <f>IF(C33="Monthly Rent Charge",$F$3,"")</f>
        <v/>
      </c>
      <c r="G33" s="41" t="n"/>
      <c r="H33" s="34" t="n"/>
      <c r="I33" s="36">
        <f>IF(AND(A33="",C33=""),"",IF(C33="Payment Received",I32-IFERROR(G33,0),IF(C33="Monthly Rent Charge",I32+IFERROR(E33,0)+IFERROR(F33,0),IFERROR(I32,0))))</f>
        <v/>
      </c>
      <c r="J33" s="37" t="n"/>
    </row>
    <row r="34" ht="15" customHeight="1" s="62">
      <c r="A34" s="54" t="n"/>
      <c r="B34" s="33" t="n"/>
      <c r="C34" s="34" t="n"/>
      <c r="D34" s="34" t="n"/>
      <c r="E34" s="35" t="n"/>
      <c r="F34" s="35" t="n"/>
      <c r="G34" s="41" t="n"/>
      <c r="H34" s="34" t="n"/>
      <c r="I34" s="36" t="n"/>
      <c r="J34" s="37" t="n"/>
    </row>
    <row r="35" ht="15" customHeight="1" s="62">
      <c r="A35" s="54" t="n"/>
      <c r="B35" s="33" t="n"/>
      <c r="C35" s="34" t="n"/>
      <c r="D35" s="34" t="n"/>
      <c r="E35" s="35" t="n"/>
      <c r="F35" s="35" t="n"/>
      <c r="G35" s="41" t="n"/>
      <c r="H35" s="34" t="n"/>
      <c r="I35" s="36" t="n"/>
      <c r="J35" s="37" t="n"/>
    </row>
    <row r="36" ht="15" customHeight="1" s="62">
      <c r="A36" s="54" t="n"/>
      <c r="B36" s="33" t="n"/>
      <c r="C36" s="34" t="n"/>
      <c r="D36" s="34" t="n"/>
      <c r="E36" s="35" t="n"/>
      <c r="F36" s="35" t="n"/>
      <c r="G36" s="41" t="n"/>
      <c r="H36" s="34" t="n"/>
      <c r="I36" s="36" t="n"/>
      <c r="J36" s="37" t="n"/>
    </row>
    <row r="37" ht="15" customHeight="1" s="62">
      <c r="A37" s="54" t="n"/>
      <c r="B37" s="33" t="n"/>
      <c r="C37" s="34" t="n"/>
      <c r="D37" s="34" t="n"/>
      <c r="E37" s="35" t="n"/>
      <c r="F37" s="35" t="n"/>
      <c r="G37" s="41" t="n"/>
      <c r="H37" s="34" t="n"/>
      <c r="I37" s="36" t="n"/>
      <c r="J37" s="37" t="n"/>
    </row>
    <row r="38" ht="15" customHeight="1" s="62">
      <c r="A38" s="54" t="n"/>
      <c r="B38" s="33" t="n"/>
      <c r="C38" s="34" t="n"/>
      <c r="D38" s="34" t="n"/>
      <c r="E38" s="35" t="n"/>
      <c r="F38" s="35" t="n"/>
      <c r="G38" s="41" t="n"/>
      <c r="H38" s="34" t="n"/>
      <c r="I38" s="36" t="n"/>
      <c r="J38" s="37" t="n"/>
    </row>
    <row r="39" ht="15" customHeight="1" s="62">
      <c r="A39" s="54" t="n"/>
      <c r="B39" s="33" t="n"/>
      <c r="C39" s="34" t="n"/>
      <c r="D39" s="34" t="n"/>
      <c r="E39" s="35" t="n"/>
      <c r="F39" s="35" t="n"/>
      <c r="G39" s="41" t="n"/>
      <c r="H39" s="34" t="n"/>
      <c r="I39" s="36" t="n"/>
      <c r="J39" s="37" t="n"/>
    </row>
    <row r="40" ht="15" customHeight="1" s="62">
      <c r="A40" s="54" t="n"/>
      <c r="B40" s="33" t="n"/>
      <c r="C40" s="34" t="n"/>
      <c r="D40" s="34" t="n"/>
      <c r="E40" s="35" t="n"/>
      <c r="F40" s="35" t="n"/>
      <c r="G40" s="41" t="n"/>
      <c r="H40" s="34" t="n"/>
      <c r="I40" s="36" t="n"/>
      <c r="J40" s="37" t="n"/>
    </row>
    <row r="41" ht="15" customHeight="1" s="62">
      <c r="A41" s="54" t="n"/>
      <c r="B41" s="33" t="n"/>
      <c r="C41" s="34" t="n"/>
      <c r="D41" s="34" t="n"/>
      <c r="E41" s="35" t="n"/>
      <c r="F41" s="35" t="n"/>
      <c r="G41" s="41" t="n"/>
      <c r="H41" s="34" t="n"/>
      <c r="I41" s="36" t="n"/>
      <c r="J41" s="37" t="n"/>
    </row>
    <row r="42" ht="15" customHeight="1" s="62">
      <c r="A42" s="54" t="n"/>
      <c r="B42" s="33" t="n"/>
      <c r="C42" s="34" t="n"/>
      <c r="D42" s="34" t="n"/>
      <c r="E42" s="35" t="n"/>
      <c r="F42" s="35" t="n"/>
      <c r="G42" s="41" t="n"/>
      <c r="H42" s="34" t="n"/>
      <c r="I42" s="36" t="n"/>
      <c r="J42" s="37" t="n"/>
    </row>
    <row r="43" ht="15" customHeight="1" s="62">
      <c r="A43" s="54" t="n"/>
      <c r="B43" s="33" t="n"/>
      <c r="C43" s="34" t="n"/>
      <c r="D43" s="34" t="n"/>
      <c r="E43" s="35" t="n"/>
      <c r="F43" s="35" t="n"/>
      <c r="G43" s="41" t="n"/>
      <c r="H43" s="34" t="n"/>
      <c r="I43" s="36" t="n"/>
      <c r="J43" s="37" t="n"/>
    </row>
    <row r="44" ht="15" customHeight="1" s="62">
      <c r="A44" s="54" t="n"/>
      <c r="B44" s="33" t="n"/>
      <c r="C44" s="34" t="n"/>
      <c r="D44" s="34" t="n"/>
      <c r="E44" s="35" t="n"/>
      <c r="F44" s="35" t="n"/>
      <c r="G44" s="41" t="n"/>
      <c r="H44" s="34" t="n"/>
      <c r="I44" s="36" t="n"/>
      <c r="J44" s="37" t="n"/>
    </row>
    <row r="45" ht="15" customHeight="1" s="62">
      <c r="A45" s="54" t="n"/>
      <c r="B45" s="33" t="n"/>
      <c r="C45" s="34" t="n"/>
      <c r="D45" s="34" t="n"/>
      <c r="E45" s="35" t="n"/>
      <c r="F45" s="35" t="n"/>
      <c r="G45" s="41" t="n"/>
      <c r="H45" s="34" t="n"/>
      <c r="I45" s="36" t="n"/>
      <c r="J45" s="37" t="n"/>
    </row>
    <row r="46" ht="15" customHeight="1" s="62">
      <c r="A46" s="54" t="n"/>
      <c r="B46" s="33" t="n"/>
      <c r="C46" s="34" t="n"/>
      <c r="D46" s="34" t="n"/>
      <c r="E46" s="35" t="n"/>
      <c r="F46" s="35" t="n"/>
      <c r="G46" s="41" t="n"/>
      <c r="H46" s="34" t="n"/>
      <c r="I46" s="36" t="n"/>
      <c r="J46" s="37" t="n"/>
    </row>
    <row r="47" ht="15" customHeight="1" s="62">
      <c r="A47" s="54" t="n"/>
      <c r="B47" s="33" t="n"/>
      <c r="C47" s="34" t="n"/>
      <c r="D47" s="34" t="n"/>
      <c r="E47" s="35" t="n"/>
      <c r="F47" s="35" t="n"/>
      <c r="G47" s="41" t="n"/>
      <c r="H47" s="34" t="n"/>
      <c r="I47" s="36" t="n"/>
      <c r="J47" s="37" t="n"/>
    </row>
    <row r="48" ht="15" customHeight="1" s="62">
      <c r="A48" s="54" t="n"/>
      <c r="B48" s="33" t="n"/>
      <c r="C48" s="34" t="n"/>
      <c r="D48" s="34" t="n"/>
      <c r="E48" s="35" t="n"/>
      <c r="F48" s="35" t="n"/>
      <c r="G48" s="41" t="n"/>
      <c r="H48" s="34" t="n"/>
      <c r="I48" s="36" t="n"/>
      <c r="J48" s="37" t="n"/>
    </row>
    <row r="49" ht="15" customHeight="1" s="62">
      <c r="A49" s="54" t="n"/>
      <c r="B49" s="33" t="n"/>
      <c r="C49" s="34" t="n"/>
      <c r="D49" s="34" t="n"/>
      <c r="E49" s="35" t="n"/>
      <c r="F49" s="35" t="n"/>
      <c r="G49" s="41" t="n"/>
      <c r="H49" s="34" t="n"/>
      <c r="I49" s="36" t="n"/>
      <c r="J49" s="37" t="n"/>
    </row>
    <row r="50" ht="15" customHeight="1" s="62">
      <c r="A50" s="54" t="n"/>
      <c r="B50" s="33" t="n"/>
      <c r="C50" s="34" t="n"/>
      <c r="D50" s="34" t="n"/>
      <c r="E50" s="35" t="n"/>
      <c r="F50" s="35" t="n"/>
      <c r="G50" s="41" t="n"/>
      <c r="H50" s="34" t="n"/>
      <c r="I50" s="36" t="n"/>
      <c r="J50" s="37" t="n"/>
    </row>
    <row r="51" ht="15" customHeight="1" s="62">
      <c r="A51" s="54" t="n"/>
      <c r="B51" s="33" t="n"/>
      <c r="C51" s="34" t="n"/>
      <c r="D51" s="34" t="n"/>
      <c r="E51" s="35" t="n"/>
      <c r="F51" s="35" t="n"/>
      <c r="G51" s="41" t="n"/>
      <c r="H51" s="34" t="n"/>
      <c r="I51" s="36" t="n"/>
      <c r="J51" s="37" t="n"/>
    </row>
    <row r="52" ht="15" customHeight="1" s="62">
      <c r="A52" s="54" t="n"/>
      <c r="B52" s="33" t="n"/>
      <c r="C52" s="34" t="n"/>
      <c r="D52" s="34" t="n"/>
      <c r="E52" s="35" t="n"/>
      <c r="F52" s="35" t="n"/>
      <c r="G52" s="41" t="n"/>
      <c r="H52" s="34" t="n"/>
      <c r="I52" s="36" t="n"/>
      <c r="J52" s="37" t="n"/>
    </row>
    <row r="53" ht="15" customHeight="1" s="62">
      <c r="A53" s="54" t="n"/>
      <c r="B53" s="33" t="n"/>
      <c r="C53" s="34" t="n"/>
      <c r="D53" s="34" t="n"/>
      <c r="E53" s="35" t="n"/>
      <c r="F53" s="35" t="n"/>
      <c r="G53" s="41" t="n"/>
      <c r="H53" s="34" t="n"/>
      <c r="I53" s="36" t="n"/>
      <c r="J53" s="37" t="n"/>
    </row>
    <row r="54" ht="15" customHeight="1" s="62">
      <c r="A54" s="54" t="n"/>
      <c r="B54" s="33" t="n"/>
      <c r="C54" s="34" t="n"/>
      <c r="D54" s="34" t="n"/>
      <c r="E54" s="35" t="n"/>
      <c r="F54" s="35" t="n"/>
      <c r="G54" s="41" t="n"/>
      <c r="H54" s="34" t="n"/>
      <c r="I54" s="36" t="n"/>
      <c r="J54" s="37" t="n"/>
    </row>
    <row r="55" ht="15" customHeight="1" s="62">
      <c r="A55" s="54" t="n"/>
      <c r="B55" s="33" t="n"/>
      <c r="C55" s="34" t="n"/>
      <c r="D55" s="34" t="n"/>
      <c r="E55" s="35" t="n"/>
      <c r="F55" s="35" t="n"/>
      <c r="G55" s="41" t="n"/>
      <c r="H55" s="34" t="n"/>
      <c r="I55" s="36" t="n"/>
      <c r="J55" s="37" t="n"/>
    </row>
    <row r="56" ht="15" customHeight="1" s="62">
      <c r="A56" s="54" t="n"/>
      <c r="B56" s="33" t="n"/>
      <c r="C56" s="34" t="n"/>
      <c r="D56" s="34" t="n"/>
      <c r="E56" s="35" t="n"/>
      <c r="F56" s="35" t="n"/>
      <c r="G56" s="41" t="n"/>
      <c r="H56" s="34" t="n"/>
      <c r="I56" s="36" t="n"/>
      <c r="J56" s="37" t="n"/>
    </row>
    <row r="57" ht="15" customHeight="1" s="62">
      <c r="A57" s="54" t="n"/>
      <c r="B57" s="33" t="n"/>
      <c r="C57" s="34" t="n"/>
      <c r="D57" s="34" t="n"/>
      <c r="E57" s="35" t="n"/>
      <c r="F57" s="35" t="n"/>
      <c r="G57" s="41" t="n"/>
      <c r="H57" s="34" t="n"/>
      <c r="I57" s="36" t="n"/>
      <c r="J57" s="37" t="n"/>
    </row>
    <row r="58" ht="15" customHeight="1" s="62">
      <c r="A58" s="54" t="n"/>
      <c r="B58" s="33" t="n"/>
      <c r="C58" s="34" t="n"/>
      <c r="D58" s="34" t="n"/>
      <c r="E58" s="35" t="n"/>
      <c r="F58" s="35" t="n"/>
      <c r="G58" s="41" t="n"/>
      <c r="H58" s="34" t="n"/>
      <c r="I58" s="36" t="n"/>
      <c r="J58" s="37" t="n"/>
    </row>
    <row r="59" ht="15" customHeight="1" s="62">
      <c r="A59" s="54" t="n"/>
      <c r="B59" s="33" t="n"/>
      <c r="C59" s="34" t="n"/>
      <c r="D59" s="34" t="n"/>
      <c r="E59" s="35" t="n"/>
      <c r="F59" s="35" t="n"/>
      <c r="G59" s="41" t="n"/>
      <c r="H59" s="34" t="n"/>
      <c r="I59" s="36" t="n"/>
      <c r="J59" s="37" t="n"/>
    </row>
    <row r="60" ht="15" customHeight="1" s="62">
      <c r="A60" s="54" t="n"/>
      <c r="B60" s="33" t="n"/>
      <c r="C60" s="34" t="n"/>
      <c r="D60" s="34" t="n"/>
      <c r="E60" s="35" t="n"/>
      <c r="F60" s="35" t="n"/>
      <c r="G60" s="41" t="n"/>
      <c r="H60" s="34" t="n"/>
      <c r="I60" s="36" t="n"/>
      <c r="J60" s="37" t="n"/>
    </row>
    <row r="61" ht="15" customHeight="1" s="62">
      <c r="A61" s="54" t="n"/>
      <c r="B61" s="33" t="n"/>
      <c r="C61" s="34" t="n"/>
      <c r="D61" s="34" t="n"/>
      <c r="E61" s="35" t="n"/>
      <c r="F61" s="35" t="n"/>
      <c r="G61" s="41" t="n"/>
      <c r="H61" s="34" t="n"/>
      <c r="I61" s="36" t="n"/>
      <c r="J61" s="37" t="n"/>
    </row>
    <row r="62" ht="15" customHeight="1" s="62">
      <c r="A62" s="54" t="n"/>
      <c r="B62" s="33" t="n"/>
      <c r="C62" s="34" t="n"/>
      <c r="D62" s="34" t="n"/>
      <c r="E62" s="35" t="n"/>
      <c r="F62" s="35" t="n"/>
      <c r="G62" s="41" t="n"/>
      <c r="H62" s="34" t="n"/>
      <c r="I62" s="36" t="n"/>
      <c r="J62" s="37" t="n"/>
    </row>
    <row r="63" ht="15" customHeight="1" s="62">
      <c r="A63" s="54" t="n"/>
      <c r="B63" s="33" t="n"/>
      <c r="C63" s="34" t="n"/>
      <c r="D63" s="34" t="n"/>
      <c r="E63" s="35" t="n"/>
      <c r="F63" s="35" t="n"/>
      <c r="G63" s="41" t="n"/>
      <c r="H63" s="34" t="n"/>
      <c r="I63" s="36" t="n"/>
      <c r="J63" s="37" t="n"/>
    </row>
    <row r="64" ht="15" customHeight="1" s="62">
      <c r="A64" s="54" t="n"/>
      <c r="B64" s="33" t="n"/>
      <c r="C64" s="34" t="n"/>
      <c r="D64" s="34" t="n"/>
      <c r="E64" s="35" t="n"/>
      <c r="F64" s="35" t="n"/>
      <c r="G64" s="41" t="n"/>
      <c r="H64" s="34" t="n"/>
      <c r="I64" s="36" t="n"/>
      <c r="J64" s="37" t="n"/>
    </row>
    <row r="65" ht="15" customHeight="1" s="62">
      <c r="A65" s="54" t="n"/>
      <c r="B65" s="33" t="n"/>
      <c r="C65" s="34" t="n"/>
      <c r="D65" s="34" t="n"/>
      <c r="E65" s="35" t="n"/>
      <c r="F65" s="35" t="n"/>
      <c r="G65" s="41" t="n"/>
      <c r="H65" s="34" t="n"/>
      <c r="I65" s="36" t="n"/>
      <c r="J65" s="37" t="n"/>
    </row>
    <row r="66" ht="15" customHeight="1" s="62">
      <c r="A66" s="54" t="n"/>
      <c r="B66" s="33" t="n"/>
      <c r="C66" s="34" t="n"/>
      <c r="D66" s="34" t="n"/>
      <c r="E66" s="35" t="n"/>
      <c r="F66" s="35" t="n"/>
      <c r="G66" s="41" t="n"/>
      <c r="H66" s="34" t="n"/>
      <c r="I66" s="36" t="n"/>
      <c r="J66" s="37" t="n"/>
    </row>
    <row r="67" ht="15" customHeight="1" s="62">
      <c r="A67" s="54" t="n"/>
      <c r="B67" s="33" t="n"/>
      <c r="C67" s="34" t="n"/>
      <c r="D67" s="34" t="n"/>
      <c r="E67" s="35" t="n"/>
      <c r="F67" s="35" t="n"/>
      <c r="G67" s="41" t="n"/>
      <c r="H67" s="34" t="n"/>
      <c r="I67" s="36" t="n"/>
      <c r="J67" s="37" t="n"/>
    </row>
    <row r="68" ht="15" customHeight="1" s="62">
      <c r="A68" s="54" t="n"/>
      <c r="B68" s="33" t="n"/>
      <c r="C68" s="34" t="n"/>
      <c r="D68" s="34" t="n"/>
      <c r="E68" s="35" t="n"/>
      <c r="F68" s="35" t="n"/>
      <c r="G68" s="41" t="n"/>
      <c r="H68" s="34" t="n"/>
      <c r="I68" s="36" t="n"/>
      <c r="J68" s="37" t="n"/>
    </row>
    <row r="69" ht="15" customHeight="1" s="62">
      <c r="A69" s="54" t="n"/>
      <c r="B69" s="33" t="n"/>
      <c r="C69" s="34" t="n"/>
      <c r="D69" s="34" t="n"/>
      <c r="E69" s="35" t="n"/>
      <c r="F69" s="35" t="n"/>
      <c r="G69" s="41" t="n"/>
      <c r="H69" s="34" t="n"/>
      <c r="I69" s="36" t="n"/>
      <c r="J69" s="37" t="n"/>
    </row>
    <row r="70" ht="15" customHeight="1" s="62">
      <c r="A70" s="54" t="n"/>
      <c r="B70" s="33" t="n"/>
      <c r="C70" s="34" t="n"/>
      <c r="D70" s="34" t="n"/>
      <c r="E70" s="35" t="n"/>
      <c r="F70" s="35" t="n"/>
      <c r="G70" s="41" t="n"/>
      <c r="H70" s="34" t="n"/>
      <c r="I70" s="36" t="n"/>
      <c r="J70" s="37" t="n"/>
    </row>
    <row r="71" ht="15" customHeight="1" s="62">
      <c r="A71" s="54" t="n"/>
      <c r="B71" s="33" t="n"/>
      <c r="C71" s="34" t="n"/>
      <c r="D71" s="34" t="n"/>
      <c r="E71" s="35" t="n"/>
      <c r="F71" s="35" t="n"/>
      <c r="G71" s="41" t="n"/>
      <c r="H71" s="34" t="n"/>
      <c r="I71" s="36" t="n"/>
      <c r="J71" s="37" t="n"/>
    </row>
    <row r="72" ht="15" customHeight="1" s="62">
      <c r="A72" s="54" t="n"/>
      <c r="B72" s="33" t="n"/>
      <c r="C72" s="34" t="n"/>
      <c r="D72" s="34" t="n"/>
      <c r="E72" s="35" t="n"/>
      <c r="F72" s="35" t="n"/>
      <c r="G72" s="41" t="n"/>
      <c r="H72" s="34" t="n"/>
      <c r="I72" s="36" t="n"/>
      <c r="J72" s="37" t="n"/>
    </row>
    <row r="73" ht="15" customHeight="1" s="62">
      <c r="A73" s="54" t="n"/>
      <c r="B73" s="33" t="n"/>
      <c r="C73" s="34" t="n"/>
      <c r="D73" s="34" t="n"/>
      <c r="E73" s="35" t="n"/>
      <c r="F73" s="35" t="n"/>
      <c r="G73" s="41" t="n"/>
      <c r="H73" s="34" t="n"/>
      <c r="I73" s="36" t="n"/>
      <c r="J73" s="37" t="n"/>
    </row>
    <row r="74" ht="15" customHeight="1" s="62">
      <c r="A74" s="54" t="n"/>
      <c r="B74" s="33" t="n"/>
      <c r="C74" s="34" t="n"/>
      <c r="D74" s="34" t="n"/>
      <c r="E74" s="35" t="n"/>
      <c r="F74" s="35" t="n"/>
      <c r="G74" s="41" t="n"/>
      <c r="H74" s="34" t="n"/>
      <c r="I74" s="36" t="n"/>
      <c r="J74" s="37" t="n"/>
    </row>
    <row r="75" ht="15" customHeight="1" s="62">
      <c r="A75" s="54" t="n"/>
      <c r="B75" s="33" t="n"/>
      <c r="C75" s="34" t="n"/>
      <c r="D75" s="34" t="n"/>
      <c r="E75" s="35" t="n"/>
      <c r="F75" s="35" t="n"/>
      <c r="G75" s="41" t="n"/>
      <c r="H75" s="34" t="n"/>
      <c r="I75" s="36" t="n"/>
      <c r="J75" s="37" t="n"/>
    </row>
    <row r="76" ht="15" customHeight="1" s="62">
      <c r="A76" s="54" t="n"/>
      <c r="B76" s="33" t="n"/>
      <c r="C76" s="34" t="n"/>
      <c r="D76" s="34" t="n"/>
      <c r="E76" s="35" t="n"/>
      <c r="F76" s="35" t="n"/>
      <c r="G76" s="41" t="n"/>
      <c r="H76" s="34" t="n"/>
      <c r="I76" s="36" t="n"/>
      <c r="J76" s="37" t="n"/>
    </row>
    <row r="77" ht="15" customHeight="1" s="62">
      <c r="A77" s="54" t="n"/>
      <c r="B77" s="33" t="n"/>
      <c r="C77" s="34" t="n"/>
      <c r="D77" s="34" t="n"/>
      <c r="E77" s="35" t="n"/>
      <c r="F77" s="35" t="n"/>
      <c r="G77" s="41" t="n"/>
      <c r="H77" s="34" t="n"/>
      <c r="I77" s="36" t="n"/>
      <c r="J77" s="37" t="n"/>
    </row>
    <row r="78" ht="15" customHeight="1" s="62">
      <c r="A78" s="54" t="n"/>
      <c r="B78" s="33" t="n"/>
      <c r="C78" s="34" t="n"/>
      <c r="D78" s="34" t="n"/>
      <c r="E78" s="35" t="n"/>
      <c r="F78" s="35" t="n"/>
      <c r="G78" s="41" t="n"/>
      <c r="H78" s="34" t="n"/>
      <c r="I78" s="36" t="n"/>
      <c r="J78" s="37" t="n"/>
    </row>
    <row r="79" ht="15" customHeight="1" s="62">
      <c r="A79" s="54" t="n"/>
      <c r="B79" s="33" t="n"/>
      <c r="C79" s="34" t="n"/>
      <c r="D79" s="34" t="n"/>
      <c r="E79" s="35" t="n"/>
      <c r="F79" s="35" t="n"/>
      <c r="G79" s="41" t="n"/>
      <c r="H79" s="34" t="n"/>
      <c r="I79" s="36" t="n"/>
      <c r="J79" s="37" t="n"/>
    </row>
    <row r="80" ht="15" customHeight="1" s="62">
      <c r="A80" s="54" t="n"/>
      <c r="B80" s="33" t="n"/>
      <c r="C80" s="34" t="n"/>
      <c r="D80" s="34" t="n"/>
      <c r="E80" s="35" t="n"/>
      <c r="F80" s="35" t="n"/>
      <c r="G80" s="41" t="n"/>
      <c r="H80" s="34" t="n"/>
      <c r="I80" s="36" t="n"/>
      <c r="J80" s="37" t="n"/>
    </row>
    <row r="81" ht="15" customHeight="1" s="62">
      <c r="A81" s="54" t="n"/>
      <c r="B81" s="33" t="n"/>
      <c r="C81" s="34" t="n"/>
      <c r="D81" s="34" t="n"/>
      <c r="E81" s="35" t="n"/>
      <c r="F81" s="35" t="n"/>
      <c r="G81" s="41" t="n"/>
      <c r="H81" s="34" t="n"/>
      <c r="I81" s="36" t="n"/>
      <c r="J81" s="37" t="n"/>
    </row>
    <row r="82" ht="15" customHeight="1" s="62">
      <c r="A82" s="54" t="n"/>
      <c r="B82" s="33" t="n"/>
      <c r="C82" s="34" t="n"/>
      <c r="D82" s="34" t="n"/>
      <c r="E82" s="35" t="n"/>
      <c r="F82" s="35" t="n"/>
      <c r="G82" s="41" t="n"/>
      <c r="H82" s="34" t="n"/>
      <c r="I82" s="36" t="n"/>
      <c r="J82" s="37" t="n"/>
    </row>
    <row r="83" ht="15" customHeight="1" s="62">
      <c r="A83" s="54" t="n"/>
      <c r="B83" s="33" t="n"/>
      <c r="C83" s="34" t="n"/>
      <c r="D83" s="34" t="n"/>
      <c r="E83" s="35" t="n"/>
      <c r="F83" s="35" t="n"/>
      <c r="G83" s="41" t="n"/>
      <c r="H83" s="34" t="n"/>
      <c r="I83" s="36" t="n"/>
      <c r="J83" s="37" t="n"/>
    </row>
    <row r="84" ht="15" customHeight="1" s="62">
      <c r="A84" s="54" t="n"/>
      <c r="B84" s="33" t="n"/>
      <c r="C84" s="34" t="n"/>
      <c r="D84" s="34" t="n"/>
      <c r="E84" s="35" t="n"/>
      <c r="F84" s="35" t="n"/>
      <c r="G84" s="41" t="n"/>
      <c r="H84" s="34" t="n"/>
      <c r="I84" s="36" t="n"/>
      <c r="J84" s="37" t="n"/>
    </row>
    <row r="85" ht="15" customHeight="1" s="62">
      <c r="A85" s="54" t="n"/>
      <c r="B85" s="33" t="n"/>
      <c r="C85" s="34" t="n"/>
      <c r="D85" s="34" t="n"/>
      <c r="E85" s="35" t="n"/>
      <c r="F85" s="35" t="n"/>
      <c r="G85" s="41" t="n"/>
      <c r="H85" s="34" t="n"/>
      <c r="I85" s="36" t="n"/>
      <c r="J85" s="37" t="n"/>
    </row>
    <row r="86" ht="15" customHeight="1" s="62">
      <c r="A86" s="54" t="n"/>
      <c r="B86" s="33" t="n"/>
      <c r="C86" s="34" t="n"/>
      <c r="D86" s="34" t="n"/>
      <c r="E86" s="35" t="n"/>
      <c r="F86" s="35" t="n"/>
      <c r="G86" s="41" t="n"/>
      <c r="H86" s="34" t="n"/>
      <c r="I86" s="36" t="n"/>
      <c r="J86" s="37" t="n"/>
    </row>
    <row r="87" ht="15" customHeight="1" s="62">
      <c r="A87" s="54" t="n"/>
      <c r="B87" s="33" t="n"/>
      <c r="C87" s="34" t="n"/>
      <c r="D87" s="34" t="n"/>
      <c r="E87" s="35" t="n"/>
      <c r="F87" s="35" t="n"/>
      <c r="G87" s="41" t="n"/>
      <c r="H87" s="34" t="n"/>
      <c r="I87" s="36" t="n"/>
      <c r="J87" s="37" t="n"/>
    </row>
    <row r="88" ht="15" customHeight="1" s="62">
      <c r="A88" s="54" t="n"/>
      <c r="B88" s="33" t="n"/>
      <c r="C88" s="34" t="n"/>
      <c r="D88" s="34" t="n"/>
      <c r="E88" s="35" t="n"/>
      <c r="F88" s="35" t="n"/>
      <c r="G88" s="41" t="n"/>
      <c r="H88" s="34" t="n"/>
      <c r="I88" s="36" t="n"/>
      <c r="J88" s="37" t="n"/>
    </row>
    <row r="89" ht="15" customHeight="1" s="62">
      <c r="A89" s="54" t="n"/>
      <c r="B89" s="33" t="n"/>
      <c r="C89" s="34" t="n"/>
      <c r="D89" s="34" t="n"/>
      <c r="E89" s="35" t="n"/>
      <c r="F89" s="35" t="n"/>
      <c r="G89" s="41" t="n"/>
      <c r="H89" s="34" t="n"/>
      <c r="I89" s="36" t="n"/>
      <c r="J89" s="37" t="n"/>
    </row>
    <row r="90" ht="15" customHeight="1" s="62">
      <c r="A90" s="54" t="n"/>
      <c r="B90" s="33" t="n"/>
      <c r="C90" s="34" t="n"/>
      <c r="D90" s="34" t="n"/>
      <c r="E90" s="35" t="n"/>
      <c r="F90" s="35" t="n"/>
      <c r="G90" s="41" t="n"/>
      <c r="H90" s="34" t="n"/>
      <c r="I90" s="36" t="n"/>
      <c r="J90" s="37" t="n"/>
    </row>
    <row r="91" ht="15" customHeight="1" s="62">
      <c r="A91" s="54" t="n"/>
      <c r="B91" s="33" t="n"/>
      <c r="C91" s="34" t="n"/>
      <c r="D91" s="34" t="n"/>
      <c r="E91" s="35" t="n"/>
      <c r="F91" s="35" t="n"/>
      <c r="G91" s="41" t="n"/>
      <c r="H91" s="34" t="n"/>
      <c r="I91" s="36" t="n"/>
      <c r="J91" s="37" t="n"/>
    </row>
    <row r="92" ht="15" customHeight="1" s="62">
      <c r="A92" s="54" t="n"/>
      <c r="B92" s="33" t="n"/>
      <c r="C92" s="34" t="n"/>
      <c r="D92" s="34" t="n"/>
      <c r="E92" s="35" t="n"/>
      <c r="F92" s="35" t="n"/>
      <c r="G92" s="41" t="n"/>
      <c r="H92" s="34" t="n"/>
      <c r="I92" s="36" t="n"/>
      <c r="J92" s="37" t="n"/>
    </row>
    <row r="93" ht="15" customHeight="1" s="62">
      <c r="A93" s="54" t="n"/>
      <c r="B93" s="33" t="n"/>
      <c r="C93" s="34" t="n"/>
      <c r="D93" s="34" t="n"/>
      <c r="E93" s="35" t="n"/>
      <c r="F93" s="35" t="n"/>
      <c r="G93" s="41" t="n"/>
      <c r="H93" s="34" t="n"/>
      <c r="I93" s="36" t="n"/>
      <c r="J93" s="37" t="n"/>
    </row>
    <row r="94" ht="15" customHeight="1" s="62">
      <c r="A94" s="54" t="n"/>
      <c r="B94" s="33" t="n"/>
      <c r="C94" s="34" t="n"/>
      <c r="D94" s="34" t="n"/>
      <c r="E94" s="35" t="n"/>
      <c r="F94" s="35" t="n"/>
      <c r="G94" s="41" t="n"/>
      <c r="H94" s="34" t="n"/>
      <c r="I94" s="36" t="n"/>
      <c r="J94" s="37" t="n"/>
    </row>
    <row r="95" ht="15" customHeight="1" s="62">
      <c r="A95" s="54" t="n"/>
      <c r="B95" s="33" t="n"/>
      <c r="C95" s="34" t="n"/>
      <c r="D95" s="34" t="n"/>
      <c r="E95" s="35" t="n"/>
      <c r="F95" s="35" t="n"/>
      <c r="G95" s="41" t="n"/>
      <c r="H95" s="34" t="n"/>
      <c r="I95" s="36" t="n"/>
      <c r="J95" s="37" t="n"/>
    </row>
    <row r="96" ht="15" customHeight="1" s="62">
      <c r="A96" s="54" t="n"/>
      <c r="B96" s="33" t="n"/>
      <c r="C96" s="34" t="n"/>
      <c r="D96" s="34" t="n"/>
      <c r="E96" s="35" t="n"/>
      <c r="F96" s="35" t="n"/>
      <c r="G96" s="41" t="n"/>
      <c r="H96" s="34" t="n"/>
      <c r="I96" s="36" t="n"/>
      <c r="J96" s="37" t="n"/>
    </row>
    <row r="97" ht="15" customHeight="1" s="62">
      <c r="A97" s="54" t="n"/>
      <c r="B97" s="33" t="n"/>
      <c r="C97" s="34" t="n"/>
      <c r="D97" s="34" t="n"/>
      <c r="E97" s="35" t="n"/>
      <c r="F97" s="35" t="n"/>
      <c r="G97" s="41" t="n"/>
      <c r="H97" s="34" t="n"/>
      <c r="I97" s="36" t="n"/>
      <c r="J97" s="37" t="n"/>
    </row>
    <row r="98" ht="15" customHeight="1" s="62">
      <c r="A98" s="54" t="n"/>
      <c r="B98" s="33" t="n"/>
      <c r="C98" s="34" t="n"/>
      <c r="D98" s="34" t="n"/>
      <c r="E98" s="35" t="n"/>
      <c r="F98" s="35" t="n"/>
      <c r="G98" s="41" t="n"/>
      <c r="H98" s="34" t="n"/>
      <c r="I98" s="36" t="n"/>
      <c r="J98" s="37" t="n"/>
    </row>
    <row r="99" ht="15" customHeight="1" s="62">
      <c r="A99" s="54" t="n"/>
      <c r="B99" s="33" t="n"/>
      <c r="C99" s="34" t="n"/>
      <c r="D99" s="34" t="n"/>
      <c r="E99" s="35" t="n"/>
      <c r="F99" s="35" t="n"/>
      <c r="G99" s="41" t="n"/>
      <c r="H99" s="34" t="n"/>
      <c r="I99" s="36" t="n"/>
      <c r="J99" s="37" t="n"/>
    </row>
    <row r="100" ht="15" customHeight="1" s="62">
      <c r="A100" s="54" t="n"/>
      <c r="B100" s="33" t="n"/>
      <c r="C100" s="34" t="n"/>
      <c r="D100" s="34" t="n"/>
      <c r="E100" s="35" t="n"/>
      <c r="F100" s="35" t="n"/>
      <c r="G100" s="41" t="n"/>
      <c r="H100" s="34" t="n"/>
      <c r="I100" s="36" t="n"/>
      <c r="J100" s="37" t="n"/>
    </row>
    <row r="101" ht="15" customHeight="1" s="62">
      <c r="A101" s="54" t="n"/>
      <c r="B101" s="33" t="n"/>
      <c r="C101" s="34" t="n"/>
      <c r="D101" s="34" t="n"/>
      <c r="E101" s="35" t="n"/>
      <c r="F101" s="35" t="n"/>
      <c r="G101" s="41" t="n"/>
      <c r="H101" s="34" t="n"/>
      <c r="I101" s="36" t="n"/>
      <c r="J101" s="37" t="n"/>
    </row>
    <row r="102" ht="15" customHeight="1" s="62">
      <c r="A102" s="54" t="n"/>
      <c r="B102" s="33" t="n"/>
      <c r="C102" s="34" t="n"/>
      <c r="D102" s="34" t="n"/>
      <c r="E102" s="35" t="n"/>
      <c r="F102" s="35" t="n"/>
      <c r="G102" s="41" t="n"/>
      <c r="H102" s="34" t="n"/>
      <c r="I102" s="36" t="n"/>
      <c r="J102" s="37" t="n"/>
    </row>
    <row r="103" ht="15" customHeight="1" s="62">
      <c r="A103" s="54" t="n"/>
      <c r="B103" s="33" t="n"/>
      <c r="C103" s="34" t="n"/>
      <c r="D103" s="34" t="n"/>
      <c r="E103" s="35" t="n"/>
      <c r="F103" s="35" t="n"/>
      <c r="G103" s="41" t="n"/>
      <c r="H103" s="34" t="n"/>
      <c r="I103" s="36" t="n"/>
      <c r="J103" s="37" t="n"/>
    </row>
    <row r="104" ht="15" customHeight="1" s="62">
      <c r="A104" s="54" t="n"/>
      <c r="B104" s="33" t="n"/>
      <c r="C104" s="34" t="n"/>
      <c r="D104" s="34" t="n"/>
      <c r="E104" s="35" t="n"/>
      <c r="F104" s="35" t="n"/>
      <c r="G104" s="41" t="n"/>
      <c r="H104" s="34" t="n"/>
      <c r="I104" s="36" t="n"/>
      <c r="J104" s="37" t="n"/>
    </row>
    <row r="105" ht="15" customHeight="1" s="62">
      <c r="A105" s="54" t="n"/>
      <c r="B105" s="33" t="n"/>
      <c r="C105" s="34" t="n"/>
      <c r="D105" s="34" t="n"/>
      <c r="E105" s="35" t="n"/>
      <c r="F105" s="35" t="n"/>
      <c r="G105" s="41" t="n"/>
      <c r="H105" s="34" t="n"/>
      <c r="I105" s="36" t="n"/>
      <c r="J105" s="37" t="n"/>
    </row>
    <row r="106" ht="15" customHeight="1" s="62">
      <c r="A106" s="54" t="n"/>
      <c r="B106" s="33" t="n"/>
      <c r="C106" s="34" t="n"/>
      <c r="D106" s="34" t="n"/>
      <c r="E106" s="35" t="n"/>
      <c r="F106" s="35" t="n"/>
      <c r="G106" s="41" t="n"/>
      <c r="H106" s="34" t="n"/>
      <c r="I106" s="36" t="n"/>
      <c r="J106" s="37" t="n"/>
    </row>
    <row r="107" ht="15" customHeight="1" s="62">
      <c r="A107" s="54" t="n"/>
      <c r="B107" s="33" t="n"/>
      <c r="C107" s="34" t="n"/>
      <c r="D107" s="34" t="n"/>
      <c r="E107" s="35" t="n"/>
      <c r="F107" s="35" t="n"/>
      <c r="G107" s="41" t="n"/>
      <c r="H107" s="34" t="n"/>
      <c r="I107" s="36" t="n"/>
      <c r="J107" s="37" t="n"/>
    </row>
    <row r="108" ht="15" customHeight="1" s="62">
      <c r="A108" s="54" t="n"/>
      <c r="B108" s="33" t="n"/>
      <c r="C108" s="34" t="n"/>
      <c r="D108" s="34" t="n"/>
      <c r="E108" s="35" t="n"/>
      <c r="F108" s="35" t="n"/>
      <c r="G108" s="41" t="n"/>
      <c r="H108" s="34" t="n"/>
      <c r="I108" s="36" t="n"/>
      <c r="J108" s="37" t="n"/>
    </row>
    <row r="109" ht="15" customHeight="1" s="62">
      <c r="A109" s="54" t="n"/>
      <c r="B109" s="33" t="n"/>
      <c r="C109" s="34" t="n"/>
      <c r="D109" s="34" t="n"/>
      <c r="E109" s="35" t="n"/>
      <c r="F109" s="35" t="n"/>
      <c r="G109" s="41" t="n"/>
      <c r="H109" s="34" t="n"/>
      <c r="I109" s="36" t="n"/>
      <c r="J109" s="37" t="n"/>
    </row>
    <row r="110" ht="15" customHeight="1" s="62">
      <c r="A110" s="54" t="n"/>
      <c r="B110" s="33" t="n"/>
      <c r="C110" s="34" t="n"/>
      <c r="D110" s="34" t="n"/>
      <c r="E110" s="35" t="n"/>
      <c r="F110" s="35" t="n"/>
      <c r="G110" s="41" t="n"/>
      <c r="H110" s="34" t="n"/>
      <c r="I110" s="36" t="n"/>
      <c r="J110" s="37" t="n"/>
    </row>
    <row r="111" ht="15" customHeight="1" s="62">
      <c r="A111" s="54" t="n"/>
      <c r="B111" s="33" t="n"/>
      <c r="C111" s="34" t="n"/>
      <c r="D111" s="34" t="n"/>
      <c r="E111" s="35" t="n"/>
      <c r="F111" s="35" t="n"/>
      <c r="G111" s="41" t="n"/>
      <c r="H111" s="34" t="n"/>
      <c r="I111" s="36" t="n"/>
      <c r="J111" s="37" t="n"/>
    </row>
    <row r="112" ht="15" customHeight="1" s="62">
      <c r="A112" s="54" t="n"/>
      <c r="B112" s="33" t="n"/>
      <c r="C112" s="34" t="n"/>
      <c r="D112" s="34" t="n"/>
      <c r="E112" s="35" t="n"/>
      <c r="F112" s="35" t="n"/>
      <c r="G112" s="41" t="n"/>
      <c r="H112" s="34" t="n"/>
      <c r="I112" s="36" t="n"/>
      <c r="J112" s="37" t="n"/>
    </row>
    <row r="113" ht="15" customHeight="1" s="62">
      <c r="A113" s="54" t="n"/>
      <c r="B113" s="33" t="n"/>
      <c r="C113" s="34" t="n"/>
      <c r="D113" s="34" t="n"/>
      <c r="E113" s="35" t="n"/>
      <c r="F113" s="35" t="n"/>
      <c r="G113" s="41" t="n"/>
      <c r="H113" s="34" t="n"/>
      <c r="I113" s="36" t="n"/>
      <c r="J113" s="37" t="n"/>
    </row>
    <row r="114" ht="15" customHeight="1" s="62">
      <c r="A114" s="54" t="n"/>
      <c r="B114" s="33" t="n"/>
      <c r="C114" s="34" t="n"/>
      <c r="D114" s="34" t="n"/>
      <c r="E114" s="35" t="n"/>
      <c r="F114" s="35" t="n"/>
      <c r="G114" s="41" t="n"/>
      <c r="H114" s="34" t="n"/>
      <c r="I114" s="36" t="n"/>
      <c r="J114" s="37" t="n"/>
    </row>
    <row r="115" ht="15" customHeight="1" s="62">
      <c r="A115" s="54" t="n"/>
      <c r="B115" s="33" t="n"/>
      <c r="C115" s="34" t="n"/>
      <c r="D115" s="34" t="n"/>
      <c r="E115" s="35" t="n"/>
      <c r="F115" s="35" t="n"/>
      <c r="G115" s="41" t="n"/>
      <c r="H115" s="34" t="n"/>
      <c r="I115" s="36" t="n"/>
      <c r="J115" s="37" t="n"/>
    </row>
    <row r="116" ht="15" customHeight="1" s="62">
      <c r="A116" s="54" t="n"/>
      <c r="B116" s="33" t="n"/>
      <c r="C116" s="34" t="n"/>
      <c r="D116" s="34" t="n"/>
      <c r="E116" s="35" t="n"/>
      <c r="F116" s="35" t="n"/>
      <c r="G116" s="41" t="n"/>
      <c r="H116" s="34" t="n"/>
      <c r="I116" s="36" t="n"/>
      <c r="J116" s="37" t="n"/>
    </row>
    <row r="117" ht="15" customHeight="1" s="62">
      <c r="A117" s="54" t="n"/>
      <c r="B117" s="33" t="n"/>
      <c r="C117" s="34" t="n"/>
      <c r="D117" s="34" t="n"/>
      <c r="E117" s="35" t="n"/>
      <c r="F117" s="35" t="n"/>
      <c r="G117" s="41" t="n"/>
      <c r="H117" s="34" t="n"/>
      <c r="I117" s="36" t="n"/>
      <c r="J117" s="37" t="n"/>
    </row>
    <row r="118" ht="15" customHeight="1" s="62">
      <c r="A118" s="54" t="n"/>
      <c r="B118" s="33" t="n"/>
      <c r="C118" s="34" t="n"/>
      <c r="D118" s="34" t="n"/>
      <c r="E118" s="35" t="n"/>
      <c r="F118" s="35" t="n"/>
      <c r="G118" s="41" t="n"/>
      <c r="H118" s="34" t="n"/>
      <c r="I118" s="36" t="n"/>
      <c r="J118" s="37" t="n"/>
    </row>
    <row r="119" ht="15" customHeight="1" s="62">
      <c r="A119" s="54" t="n"/>
      <c r="B119" s="33" t="n"/>
      <c r="C119" s="34" t="n"/>
      <c r="D119" s="34" t="n"/>
      <c r="E119" s="35" t="n"/>
      <c r="F119" s="35" t="n"/>
      <c r="G119" s="41" t="n"/>
      <c r="H119" s="34" t="n"/>
      <c r="I119" s="36" t="n"/>
      <c r="J119" s="37" t="n"/>
    </row>
    <row r="120" ht="15" customHeight="1" s="62">
      <c r="A120" s="54" t="n"/>
      <c r="B120" s="33" t="n"/>
      <c r="C120" s="34" t="n"/>
      <c r="D120" s="34" t="n"/>
      <c r="E120" s="35" t="n"/>
      <c r="F120" s="35" t="n"/>
      <c r="G120" s="41" t="n"/>
      <c r="H120" s="34" t="n"/>
      <c r="I120" s="36" t="n"/>
      <c r="J120" s="37" t="n"/>
    </row>
    <row r="121" ht="15" customHeight="1" s="62">
      <c r="A121" s="54" t="n"/>
      <c r="B121" s="33" t="n"/>
      <c r="C121" s="34" t="n"/>
      <c r="D121" s="34" t="n"/>
      <c r="E121" s="35" t="n"/>
      <c r="F121" s="35" t="n"/>
      <c r="G121" s="41" t="n"/>
      <c r="H121" s="34" t="n"/>
      <c r="I121" s="36" t="n"/>
      <c r="J121" s="37" t="n"/>
    </row>
    <row r="122" ht="15" customHeight="1" s="62">
      <c r="A122" s="54" t="n"/>
      <c r="B122" s="33" t="n"/>
      <c r="C122" s="34" t="n"/>
      <c r="D122" s="34" t="n"/>
      <c r="E122" s="35" t="n"/>
      <c r="F122" s="35" t="n"/>
      <c r="G122" s="41" t="n"/>
      <c r="H122" s="34" t="n"/>
      <c r="I122" s="36" t="n"/>
      <c r="J122" s="37" t="n"/>
    </row>
    <row r="123" ht="15" customHeight="1" s="62">
      <c r="A123" s="54" t="n"/>
      <c r="B123" s="33" t="n"/>
      <c r="C123" s="34" t="n"/>
      <c r="D123" s="34" t="n"/>
      <c r="E123" s="35" t="n"/>
      <c r="F123" s="35" t="n"/>
      <c r="G123" s="41" t="n"/>
      <c r="H123" s="34" t="n"/>
      <c r="I123" s="36" t="n"/>
      <c r="J123" s="37" t="n"/>
    </row>
    <row r="124" ht="15" customHeight="1" s="62">
      <c r="A124" s="54" t="n"/>
      <c r="B124" s="33" t="n"/>
      <c r="C124" s="34" t="n"/>
      <c r="D124" s="34" t="n"/>
      <c r="E124" s="35" t="n"/>
      <c r="F124" s="35" t="n"/>
      <c r="G124" s="41" t="n"/>
      <c r="H124" s="34" t="n"/>
      <c r="I124" s="36" t="n"/>
      <c r="J124" s="37" t="n"/>
    </row>
    <row r="125" ht="15" customHeight="1" s="62">
      <c r="A125" s="54" t="n"/>
      <c r="B125" s="33" t="n"/>
      <c r="C125" s="34" t="n"/>
      <c r="D125" s="34" t="n"/>
      <c r="E125" s="35" t="n"/>
      <c r="F125" s="35" t="n"/>
      <c r="G125" s="41" t="n"/>
      <c r="H125" s="34" t="n"/>
      <c r="I125" s="36" t="n"/>
      <c r="J125" s="37" t="n"/>
    </row>
    <row r="126" ht="15" customHeight="1" s="62">
      <c r="A126" s="54" t="n"/>
      <c r="B126" s="33" t="n"/>
      <c r="C126" s="34" t="n"/>
      <c r="D126" s="34" t="n"/>
      <c r="E126" s="35" t="n"/>
      <c r="F126" s="35" t="n"/>
      <c r="G126" s="41" t="n"/>
      <c r="H126" s="34" t="n"/>
      <c r="I126" s="36" t="n"/>
      <c r="J126" s="37" t="n"/>
    </row>
    <row r="127" ht="15" customHeight="1" s="62">
      <c r="A127" s="54" t="n"/>
      <c r="B127" s="33" t="n"/>
      <c r="C127" s="34" t="n"/>
      <c r="D127" s="34" t="n"/>
      <c r="E127" s="35" t="n"/>
      <c r="F127" s="35" t="n"/>
      <c r="G127" s="41" t="n"/>
      <c r="H127" s="34" t="n"/>
      <c r="I127" s="36" t="n"/>
      <c r="J127" s="37" t="n"/>
    </row>
    <row r="128" ht="15" customHeight="1" s="62">
      <c r="A128" s="54" t="n"/>
      <c r="B128" s="33" t="n"/>
      <c r="C128" s="34" t="n"/>
      <c r="D128" s="34" t="n"/>
      <c r="E128" s="35" t="n"/>
      <c r="F128" s="35" t="n"/>
      <c r="G128" s="41" t="n"/>
      <c r="H128" s="34" t="n"/>
      <c r="I128" s="36" t="n"/>
      <c r="J128" s="37" t="n"/>
    </row>
    <row r="129" ht="15" customHeight="1" s="62">
      <c r="A129" s="54" t="n"/>
      <c r="B129" s="33" t="n"/>
      <c r="C129" s="34" t="n"/>
      <c r="D129" s="34" t="n"/>
      <c r="E129" s="35" t="n"/>
      <c r="F129" s="35" t="n"/>
      <c r="G129" s="41" t="n"/>
      <c r="H129" s="34" t="n"/>
      <c r="I129" s="36" t="n"/>
      <c r="J129" s="37" t="n"/>
    </row>
    <row r="130" ht="15" customHeight="1" s="62">
      <c r="A130" s="54" t="n"/>
      <c r="B130" s="33" t="n"/>
      <c r="C130" s="34" t="n"/>
      <c r="D130" s="34" t="n"/>
      <c r="E130" s="35" t="n"/>
      <c r="F130" s="35" t="n"/>
      <c r="G130" s="41" t="n"/>
      <c r="H130" s="34" t="n"/>
      <c r="I130" s="36" t="n"/>
      <c r="J130" s="37" t="n"/>
    </row>
    <row r="131" ht="15" customHeight="1" s="62">
      <c r="A131" s="54" t="n"/>
      <c r="B131" s="33" t="n"/>
      <c r="C131" s="34" t="n"/>
      <c r="D131" s="34" t="n"/>
      <c r="E131" s="35" t="n"/>
      <c r="F131" s="35" t="n"/>
      <c r="G131" s="41" t="n"/>
      <c r="H131" s="34" t="n"/>
      <c r="I131" s="36" t="n"/>
      <c r="J131" s="37" t="n"/>
    </row>
    <row r="132" ht="15" customHeight="1" s="62">
      <c r="A132" s="54" t="n"/>
      <c r="B132" s="33" t="n"/>
      <c r="C132" s="34" t="n"/>
      <c r="D132" s="34" t="n"/>
      <c r="E132" s="35" t="n"/>
      <c r="F132" s="35" t="n"/>
      <c r="G132" s="41" t="n"/>
      <c r="H132" s="34" t="n"/>
      <c r="I132" s="36" t="n"/>
      <c r="J132" s="37" t="n"/>
    </row>
    <row r="133" ht="15" customHeight="1" s="62">
      <c r="A133" s="54" t="n"/>
      <c r="B133" s="33" t="n"/>
      <c r="C133" s="34" t="n"/>
      <c r="D133" s="34" t="n"/>
      <c r="E133" s="35" t="n"/>
      <c r="F133" s="35" t="n"/>
      <c r="G133" s="41" t="n"/>
      <c r="H133" s="34" t="n"/>
      <c r="I133" s="36" t="n"/>
      <c r="J133" s="37" t="n"/>
    </row>
    <row r="134" ht="15" customHeight="1" s="62">
      <c r="A134" s="54" t="n"/>
      <c r="B134" s="33" t="n"/>
      <c r="C134" s="34" t="n"/>
      <c r="D134" s="34" t="n"/>
      <c r="E134" s="35" t="n"/>
      <c r="F134" s="35" t="n"/>
      <c r="G134" s="41" t="n"/>
      <c r="H134" s="34" t="n"/>
      <c r="I134" s="36" t="n"/>
      <c r="J134" s="37" t="n"/>
    </row>
    <row r="135" ht="15" customHeight="1" s="62">
      <c r="A135" s="54" t="n"/>
      <c r="B135" s="33" t="n"/>
      <c r="C135" s="34" t="n"/>
      <c r="D135" s="34" t="n"/>
      <c r="E135" s="35" t="n"/>
      <c r="F135" s="35" t="n"/>
      <c r="G135" s="41" t="n"/>
      <c r="H135" s="34" t="n"/>
      <c r="I135" s="36" t="n"/>
      <c r="J135" s="37" t="n"/>
    </row>
    <row r="136" ht="15" customHeight="1" s="62">
      <c r="A136" s="54" t="n"/>
      <c r="B136" s="33" t="n"/>
      <c r="C136" s="34" t="n"/>
      <c r="D136" s="34" t="n"/>
      <c r="E136" s="35" t="n"/>
      <c r="F136" s="35" t="n"/>
      <c r="G136" s="41" t="n"/>
      <c r="H136" s="34" t="n"/>
      <c r="I136" s="36" t="n"/>
      <c r="J136" s="37" t="n"/>
    </row>
    <row r="137" ht="15" customHeight="1" s="62">
      <c r="A137" s="54" t="n"/>
      <c r="B137" s="33" t="n"/>
      <c r="C137" s="34" t="n"/>
      <c r="D137" s="34" t="n"/>
      <c r="E137" s="35" t="n"/>
      <c r="F137" s="35" t="n"/>
      <c r="G137" s="41" t="n"/>
      <c r="H137" s="34" t="n"/>
      <c r="I137" s="36" t="n"/>
      <c r="J137" s="37" t="n"/>
    </row>
    <row r="138" ht="15" customHeight="1" s="62">
      <c r="A138" s="54" t="n"/>
      <c r="B138" s="33" t="n"/>
      <c r="C138" s="34" t="n"/>
      <c r="D138" s="34" t="n"/>
      <c r="E138" s="35" t="n"/>
      <c r="F138" s="35" t="n"/>
      <c r="G138" s="41" t="n"/>
      <c r="H138" s="34" t="n"/>
      <c r="I138" s="36" t="n"/>
      <c r="J138" s="37" t="n"/>
    </row>
    <row r="139" ht="15" customHeight="1" s="62">
      <c r="A139" s="54" t="n"/>
      <c r="B139" s="33" t="n"/>
      <c r="C139" s="34" t="n"/>
      <c r="D139" s="34" t="n"/>
      <c r="E139" s="35" t="n"/>
      <c r="F139" s="35" t="n"/>
      <c r="G139" s="41" t="n"/>
      <c r="H139" s="34" t="n"/>
      <c r="I139" s="36" t="n"/>
      <c r="J139" s="37" t="n"/>
    </row>
    <row r="140" ht="15" customHeight="1" s="62">
      <c r="A140" s="54" t="n"/>
      <c r="B140" s="33" t="n"/>
      <c r="C140" s="34" t="n"/>
      <c r="D140" s="34" t="n"/>
      <c r="E140" s="35" t="n"/>
      <c r="F140" s="35" t="n"/>
      <c r="G140" s="41" t="n"/>
      <c r="H140" s="34" t="n"/>
      <c r="I140" s="36" t="n"/>
      <c r="J140" s="37" t="n"/>
    </row>
    <row r="141" ht="15" customHeight="1" s="62">
      <c r="A141" s="54" t="n"/>
      <c r="B141" s="33" t="n"/>
      <c r="C141" s="34" t="n"/>
      <c r="D141" s="34" t="n"/>
      <c r="E141" s="35" t="n"/>
      <c r="F141" s="35" t="n"/>
      <c r="G141" s="41" t="n"/>
      <c r="H141" s="34" t="n"/>
      <c r="I141" s="36" t="n"/>
      <c r="J141" s="37" t="n"/>
    </row>
    <row r="142" ht="15" customHeight="1" s="62">
      <c r="A142" s="54" t="n"/>
      <c r="B142" s="33" t="n"/>
      <c r="C142" s="34" t="n"/>
      <c r="D142" s="34" t="n"/>
      <c r="E142" s="35" t="n"/>
      <c r="F142" s="35" t="n"/>
      <c r="G142" s="41" t="n"/>
      <c r="H142" s="34" t="n"/>
      <c r="I142" s="36" t="n"/>
      <c r="J142" s="37" t="n"/>
    </row>
    <row r="143" ht="15" customHeight="1" s="62">
      <c r="A143" s="54" t="n"/>
      <c r="B143" s="33" t="n"/>
      <c r="C143" s="34" t="n"/>
      <c r="D143" s="34" t="n"/>
      <c r="E143" s="35" t="n"/>
      <c r="F143" s="35" t="n"/>
      <c r="G143" s="41" t="n"/>
      <c r="H143" s="34" t="n"/>
      <c r="I143" s="36" t="n"/>
      <c r="J143" s="37" t="n"/>
    </row>
    <row r="144" ht="15" customHeight="1" s="62">
      <c r="A144" s="54" t="n"/>
      <c r="B144" s="33" t="n"/>
      <c r="C144" s="34" t="n"/>
      <c r="D144" s="34" t="n"/>
      <c r="E144" s="35" t="n"/>
      <c r="F144" s="35" t="n"/>
      <c r="G144" s="41" t="n"/>
      <c r="H144" s="34" t="n"/>
      <c r="I144" s="36" t="n"/>
      <c r="J144" s="37" t="n"/>
    </row>
    <row r="145" ht="15" customHeight="1" s="62">
      <c r="A145" s="54" t="n"/>
      <c r="B145" s="33" t="n"/>
      <c r="C145" s="34" t="n"/>
      <c r="D145" s="34" t="n"/>
      <c r="E145" s="35" t="n"/>
      <c r="F145" s="35" t="n"/>
      <c r="G145" s="41" t="n"/>
      <c r="H145" s="34" t="n"/>
      <c r="I145" s="36" t="n"/>
      <c r="J145" s="37" t="n"/>
    </row>
    <row r="146" ht="15" customHeight="1" s="62">
      <c r="A146" s="54" t="n"/>
      <c r="B146" s="33" t="n"/>
      <c r="C146" s="34" t="n"/>
      <c r="D146" s="34" t="n"/>
      <c r="E146" s="35" t="n"/>
      <c r="F146" s="35" t="n"/>
      <c r="G146" s="41" t="n"/>
      <c r="H146" s="34" t="n"/>
      <c r="I146" s="36" t="n"/>
      <c r="J146" s="37" t="n"/>
    </row>
    <row r="147" ht="15" customHeight="1" s="62">
      <c r="A147" s="54" t="n"/>
      <c r="B147" s="33" t="n"/>
      <c r="C147" s="34" t="n"/>
      <c r="D147" s="34" t="n"/>
      <c r="E147" s="35" t="n"/>
      <c r="F147" s="35" t="n"/>
      <c r="G147" s="41" t="n"/>
      <c r="H147" s="34" t="n"/>
      <c r="I147" s="36" t="n"/>
      <c r="J147" s="37" t="n"/>
    </row>
    <row r="148" ht="15" customHeight="1" s="62">
      <c r="A148" s="54" t="n"/>
      <c r="B148" s="33" t="n"/>
      <c r="C148" s="34" t="n"/>
      <c r="D148" s="34" t="n"/>
      <c r="E148" s="35" t="n"/>
      <c r="F148" s="35" t="n"/>
      <c r="G148" s="41" t="n"/>
      <c r="H148" s="34" t="n"/>
      <c r="I148" s="36" t="n"/>
      <c r="J148" s="37" t="n"/>
    </row>
    <row r="149" ht="15" customHeight="1" s="62">
      <c r="A149" s="54" t="n"/>
      <c r="B149" s="33" t="n"/>
      <c r="C149" s="34" t="n"/>
      <c r="D149" s="34" t="n"/>
      <c r="E149" s="35" t="n"/>
      <c r="F149" s="35" t="n"/>
      <c r="G149" s="41" t="n"/>
      <c r="H149" s="34" t="n"/>
      <c r="I149" s="36" t="n"/>
      <c r="J149" s="37" t="n"/>
    </row>
    <row r="150" ht="15" customHeight="1" s="62">
      <c r="A150" s="54" t="n"/>
      <c r="B150" s="33" t="n"/>
      <c r="C150" s="34" t="n"/>
      <c r="D150" s="34" t="n"/>
      <c r="E150" s="35" t="n"/>
      <c r="F150" s="35" t="n"/>
      <c r="G150" s="41" t="n"/>
      <c r="H150" s="34" t="n"/>
      <c r="I150" s="36" t="n"/>
      <c r="J150" s="37" t="n"/>
    </row>
    <row r="151" ht="15" customHeight="1" s="62">
      <c r="A151" s="54" t="n"/>
      <c r="B151" s="33" t="n"/>
      <c r="C151" s="34" t="n"/>
      <c r="D151" s="34" t="n"/>
      <c r="E151" s="35" t="n"/>
      <c r="F151" s="35" t="n"/>
      <c r="G151" s="41" t="n"/>
      <c r="H151" s="34" t="n"/>
      <c r="I151" s="36" t="n"/>
      <c r="J151" s="37" t="n"/>
    </row>
    <row r="152" ht="15" customHeight="1" s="62">
      <c r="A152" s="54" t="n"/>
      <c r="B152" s="33" t="n"/>
      <c r="C152" s="34" t="n"/>
      <c r="D152" s="34" t="n"/>
      <c r="E152" s="35" t="n"/>
      <c r="F152" s="35" t="n"/>
      <c r="G152" s="41" t="n"/>
      <c r="H152" s="34" t="n"/>
      <c r="I152" s="36" t="n"/>
      <c r="J152" s="37" t="n"/>
    </row>
    <row r="153" ht="15" customHeight="1" s="62">
      <c r="A153" s="54" t="n"/>
      <c r="B153" s="33" t="n"/>
      <c r="C153" s="34" t="n"/>
      <c r="D153" s="34" t="n"/>
      <c r="E153" s="35" t="n"/>
      <c r="F153" s="35" t="n"/>
      <c r="G153" s="41" t="n"/>
      <c r="H153" s="34" t="n"/>
      <c r="I153" s="36" t="n"/>
      <c r="J153" s="37" t="n"/>
    </row>
    <row r="154" ht="15" customHeight="1" s="62">
      <c r="A154" s="54" t="n"/>
      <c r="B154" s="33" t="n"/>
      <c r="C154" s="34" t="n"/>
      <c r="D154" s="34" t="n"/>
      <c r="E154" s="35" t="n"/>
      <c r="F154" s="35" t="n"/>
      <c r="G154" s="41" t="n"/>
      <c r="H154" s="34" t="n"/>
      <c r="I154" s="36" t="n"/>
      <c r="J154" s="37" t="n"/>
    </row>
    <row r="155" ht="15" customHeight="1" s="62">
      <c r="A155" s="54" t="n"/>
      <c r="B155" s="33" t="n"/>
      <c r="C155" s="34" t="n"/>
      <c r="D155" s="34" t="n"/>
      <c r="E155" s="35" t="n"/>
      <c r="F155" s="35" t="n"/>
      <c r="G155" s="41" t="n"/>
      <c r="H155" s="34" t="n"/>
      <c r="I155" s="36" t="n"/>
      <c r="J155" s="37" t="n"/>
    </row>
    <row r="156" ht="15" customHeight="1" s="62">
      <c r="A156" s="54" t="n"/>
      <c r="B156" s="33" t="n"/>
      <c r="C156" s="34" t="n"/>
      <c r="D156" s="34" t="n"/>
      <c r="E156" s="35" t="n"/>
      <c r="F156" s="35" t="n"/>
      <c r="G156" s="41" t="n"/>
      <c r="H156" s="34" t="n"/>
      <c r="I156" s="36" t="n"/>
      <c r="J156" s="37" t="n"/>
    </row>
    <row r="157" ht="15" customHeight="1" s="62">
      <c r="A157" s="54" t="n"/>
      <c r="B157" s="33" t="n"/>
      <c r="C157" s="34" t="n"/>
      <c r="D157" s="34" t="n"/>
      <c r="E157" s="35" t="n"/>
      <c r="F157" s="35" t="n"/>
      <c r="G157" s="41" t="n"/>
      <c r="H157" s="34" t="n"/>
      <c r="I157" s="36" t="n"/>
      <c r="J157" s="37" t="n"/>
    </row>
    <row r="158" ht="15" customHeight="1" s="62">
      <c r="A158" s="54" t="n"/>
      <c r="B158" s="33" t="n"/>
      <c r="C158" s="34" t="n"/>
      <c r="D158" s="34" t="n"/>
      <c r="E158" s="35" t="n"/>
      <c r="F158" s="35" t="n"/>
      <c r="G158" s="41" t="n"/>
      <c r="H158" s="34" t="n"/>
      <c r="I158" s="36" t="n"/>
      <c r="J158" s="37" t="n"/>
    </row>
    <row r="159" ht="15" customHeight="1" s="62">
      <c r="A159" s="54" t="n"/>
      <c r="B159" s="33" t="n"/>
      <c r="C159" s="34" t="n"/>
      <c r="D159" s="34" t="n"/>
      <c r="E159" s="35" t="n"/>
      <c r="F159" s="35" t="n"/>
      <c r="G159" s="41" t="n"/>
      <c r="H159" s="34" t="n"/>
      <c r="I159" s="36" t="n"/>
      <c r="J159" s="37" t="n"/>
    </row>
    <row r="160" ht="15" customHeight="1" s="62">
      <c r="A160" s="54" t="n"/>
      <c r="B160" s="33" t="n"/>
      <c r="C160" s="34" t="n"/>
      <c r="D160" s="34" t="n"/>
      <c r="E160" s="35" t="n"/>
      <c r="F160" s="35" t="n"/>
      <c r="G160" s="41" t="n"/>
      <c r="H160" s="34" t="n"/>
      <c r="I160" s="36" t="n"/>
      <c r="J160" s="37" t="n"/>
    </row>
    <row r="161" ht="15" customHeight="1" s="62">
      <c r="A161" s="54" t="n"/>
      <c r="B161" s="33" t="n"/>
      <c r="C161" s="34" t="n"/>
      <c r="D161" s="34" t="n"/>
      <c r="E161" s="35" t="n"/>
      <c r="F161" s="35" t="n"/>
      <c r="G161" s="41" t="n"/>
      <c r="H161" s="34" t="n"/>
      <c r="I161" s="36" t="n"/>
      <c r="J161" s="37" t="n"/>
    </row>
    <row r="162" ht="15" customHeight="1" s="62">
      <c r="A162" s="54" t="n"/>
      <c r="B162" s="33" t="n"/>
      <c r="C162" s="34" t="n"/>
      <c r="D162" s="34" t="n"/>
      <c r="E162" s="35" t="n"/>
      <c r="F162" s="35" t="n"/>
      <c r="G162" s="41" t="n"/>
      <c r="H162" s="34" t="n"/>
      <c r="I162" s="36" t="n"/>
      <c r="J162" s="37" t="n"/>
    </row>
    <row r="163" ht="15" customHeight="1" s="62">
      <c r="A163" s="54" t="n"/>
      <c r="B163" s="33" t="n"/>
      <c r="C163" s="34" t="n"/>
      <c r="D163" s="34" t="n"/>
      <c r="E163" s="35" t="n"/>
      <c r="F163" s="35" t="n"/>
      <c r="G163" s="41" t="n"/>
      <c r="H163" s="34" t="n"/>
      <c r="I163" s="36" t="n"/>
      <c r="J163" s="37" t="n"/>
    </row>
    <row r="164" ht="15" customHeight="1" s="62">
      <c r="A164" s="54" t="n"/>
      <c r="B164" s="33" t="n"/>
      <c r="C164" s="34" t="n"/>
      <c r="D164" s="34" t="n"/>
      <c r="E164" s="35" t="n"/>
      <c r="F164" s="35" t="n"/>
      <c r="G164" s="41" t="n"/>
      <c r="H164" s="34" t="n"/>
      <c r="I164" s="36" t="n"/>
      <c r="J164" s="37" t="n"/>
    </row>
    <row r="165" ht="15" customHeight="1" s="62">
      <c r="A165" s="54" t="n"/>
      <c r="B165" s="33" t="n"/>
      <c r="C165" s="34" t="n"/>
      <c r="D165" s="34" t="n"/>
      <c r="E165" s="35" t="n"/>
      <c r="F165" s="35" t="n"/>
      <c r="G165" s="41" t="n"/>
      <c r="H165" s="34" t="n"/>
      <c r="I165" s="36" t="n"/>
      <c r="J165" s="37" t="n"/>
    </row>
    <row r="166" ht="15" customHeight="1" s="62">
      <c r="A166" s="54" t="n"/>
      <c r="B166" s="33" t="n"/>
      <c r="C166" s="34" t="n"/>
      <c r="D166" s="34" t="n"/>
      <c r="E166" s="35" t="n"/>
      <c r="F166" s="35" t="n"/>
      <c r="G166" s="41" t="n"/>
      <c r="H166" s="34" t="n"/>
      <c r="I166" s="36" t="n"/>
      <c r="J166" s="37" t="n"/>
    </row>
    <row r="167" ht="15" customHeight="1" s="62">
      <c r="A167" s="54" t="n"/>
      <c r="B167" s="33" t="n"/>
      <c r="C167" s="34" t="n"/>
      <c r="D167" s="34" t="n"/>
      <c r="E167" s="35" t="n"/>
      <c r="F167" s="35" t="n"/>
      <c r="G167" s="41" t="n"/>
      <c r="H167" s="34" t="n"/>
      <c r="I167" s="36" t="n"/>
      <c r="J167" s="37" t="n"/>
    </row>
    <row r="168" ht="15" customHeight="1" s="62">
      <c r="A168" s="54" t="n"/>
      <c r="B168" s="33" t="n"/>
      <c r="C168" s="34" t="n"/>
      <c r="D168" s="34" t="n"/>
      <c r="E168" s="35" t="n"/>
      <c r="F168" s="35" t="n"/>
      <c r="G168" s="41" t="n"/>
      <c r="H168" s="34" t="n"/>
      <c r="I168" s="36" t="n"/>
      <c r="J168" s="37" t="n"/>
    </row>
    <row r="169" ht="15" customHeight="1" s="62">
      <c r="A169" s="54" t="n"/>
      <c r="B169" s="33" t="n"/>
      <c r="C169" s="34" t="n"/>
      <c r="D169" s="34" t="n"/>
      <c r="E169" s="35" t="n"/>
      <c r="F169" s="35" t="n"/>
      <c r="G169" s="41" t="n"/>
      <c r="H169" s="34" t="n"/>
      <c r="I169" s="36" t="n"/>
      <c r="J169" s="37" t="n"/>
    </row>
    <row r="170" ht="15" customHeight="1" s="62">
      <c r="A170" s="54" t="n"/>
      <c r="B170" s="33" t="n"/>
      <c r="C170" s="34" t="n"/>
      <c r="D170" s="34" t="n"/>
      <c r="E170" s="35" t="n"/>
      <c r="F170" s="35" t="n"/>
      <c r="G170" s="41" t="n"/>
      <c r="H170" s="34" t="n"/>
      <c r="I170" s="36" t="n"/>
      <c r="J170" s="37" t="n"/>
    </row>
    <row r="171" ht="15" customHeight="1" s="62">
      <c r="A171" s="54" t="n"/>
      <c r="B171" s="33" t="n"/>
      <c r="C171" s="34" t="n"/>
      <c r="D171" s="34" t="n"/>
      <c r="E171" s="35" t="n"/>
      <c r="F171" s="35" t="n"/>
      <c r="G171" s="41" t="n"/>
      <c r="H171" s="34" t="n"/>
      <c r="I171" s="36" t="n"/>
      <c r="J171" s="37" t="n"/>
    </row>
    <row r="172" ht="15" customHeight="1" s="62">
      <c r="A172" s="54" t="n"/>
      <c r="B172" s="33" t="n"/>
      <c r="C172" s="34" t="n"/>
      <c r="D172" s="34" t="n"/>
      <c r="E172" s="35" t="n"/>
      <c r="F172" s="35" t="n"/>
      <c r="G172" s="41" t="n"/>
      <c r="H172" s="34" t="n"/>
      <c r="I172" s="36" t="n"/>
      <c r="J172" s="37" t="n"/>
    </row>
    <row r="173" ht="15" customHeight="1" s="62">
      <c r="A173" s="54" t="n"/>
      <c r="B173" s="33" t="n"/>
      <c r="C173" s="34" t="n"/>
      <c r="D173" s="34" t="n"/>
      <c r="E173" s="35" t="n"/>
      <c r="F173" s="35" t="n"/>
      <c r="G173" s="41" t="n"/>
      <c r="H173" s="34" t="n"/>
      <c r="I173" s="36" t="n"/>
      <c r="J173" s="37" t="n"/>
    </row>
    <row r="174" ht="15" customHeight="1" s="62">
      <c r="A174" s="54" t="n"/>
      <c r="B174" s="33" t="n"/>
      <c r="C174" s="34" t="n"/>
      <c r="D174" s="34" t="n"/>
      <c r="E174" s="35" t="n"/>
      <c r="F174" s="35" t="n"/>
      <c r="G174" s="41" t="n"/>
      <c r="H174" s="34" t="n"/>
      <c r="I174" s="36" t="n"/>
      <c r="J174" s="37" t="n"/>
    </row>
    <row r="175" ht="15" customHeight="1" s="62">
      <c r="A175" s="54" t="n"/>
      <c r="B175" s="33" t="n"/>
      <c r="C175" s="34" t="n"/>
      <c r="D175" s="34" t="n"/>
      <c r="E175" s="35" t="n"/>
      <c r="F175" s="35" t="n"/>
      <c r="G175" s="41" t="n"/>
      <c r="H175" s="34" t="n"/>
      <c r="I175" s="36" t="n"/>
      <c r="J175" s="37" t="n"/>
    </row>
    <row r="176" ht="15" customHeight="1" s="62">
      <c r="A176" s="54" t="n"/>
      <c r="B176" s="33" t="n"/>
      <c r="C176" s="34" t="n"/>
      <c r="D176" s="34" t="n"/>
      <c r="E176" s="35" t="n"/>
      <c r="F176" s="35" t="n"/>
      <c r="G176" s="41" t="n"/>
      <c r="H176" s="34" t="n"/>
      <c r="I176" s="36" t="n"/>
      <c r="J176" s="37" t="n"/>
    </row>
    <row r="177" ht="15" customHeight="1" s="62">
      <c r="A177" s="54" t="n"/>
      <c r="B177" s="33" t="n"/>
      <c r="C177" s="34" t="n"/>
      <c r="D177" s="34" t="n"/>
      <c r="E177" s="35" t="n"/>
      <c r="F177" s="35" t="n"/>
      <c r="G177" s="41" t="n"/>
      <c r="H177" s="34" t="n"/>
      <c r="I177" s="36" t="n"/>
      <c r="J177" s="37" t="n"/>
    </row>
    <row r="178" ht="15" customHeight="1" s="62">
      <c r="A178" s="54" t="n"/>
      <c r="B178" s="33" t="n"/>
      <c r="C178" s="34" t="n"/>
      <c r="D178" s="34" t="n"/>
      <c r="E178" s="35" t="n"/>
      <c r="F178" s="35" t="n"/>
      <c r="G178" s="41" t="n"/>
      <c r="H178" s="34" t="n"/>
      <c r="I178" s="36" t="n"/>
      <c r="J178" s="37" t="n"/>
    </row>
    <row r="179" ht="15" customHeight="1" s="62">
      <c r="A179" s="54" t="n"/>
      <c r="B179" s="33" t="n"/>
      <c r="C179" s="34" t="n"/>
      <c r="D179" s="34" t="n"/>
      <c r="E179" s="35" t="n"/>
      <c r="F179" s="35" t="n"/>
      <c r="G179" s="41" t="n"/>
      <c r="H179" s="34" t="n"/>
      <c r="I179" s="36" t="n"/>
      <c r="J179" s="37" t="n"/>
    </row>
    <row r="180" ht="15" customHeight="1" s="62">
      <c r="A180" s="54" t="n"/>
      <c r="B180" s="33" t="n"/>
      <c r="C180" s="34" t="n"/>
      <c r="D180" s="34" t="n"/>
      <c r="E180" s="35" t="n"/>
      <c r="F180" s="35" t="n"/>
      <c r="G180" s="41" t="n"/>
      <c r="H180" s="34" t="n"/>
      <c r="I180" s="36" t="n"/>
      <c r="J180" s="37" t="n"/>
    </row>
    <row r="181" ht="15" customHeight="1" s="62">
      <c r="A181" s="54" t="n"/>
      <c r="B181" s="33" t="n"/>
      <c r="C181" s="34" t="n"/>
      <c r="D181" s="34" t="n"/>
      <c r="E181" s="35" t="n"/>
      <c r="F181" s="35" t="n"/>
      <c r="G181" s="41" t="n"/>
      <c r="H181" s="34" t="n"/>
      <c r="I181" s="36" t="n"/>
      <c r="J181" s="37" t="n"/>
    </row>
    <row r="182" ht="15" customHeight="1" s="62">
      <c r="A182" s="54" t="n"/>
      <c r="B182" s="33" t="n"/>
      <c r="C182" s="34" t="n"/>
      <c r="D182" s="34" t="n"/>
      <c r="E182" s="35" t="n"/>
      <c r="F182" s="35" t="n"/>
      <c r="G182" s="41" t="n"/>
      <c r="H182" s="34" t="n"/>
      <c r="I182" s="36" t="n"/>
      <c r="J182" s="37" t="n"/>
    </row>
    <row r="183" ht="15" customHeight="1" s="62">
      <c r="A183" s="54" t="n"/>
      <c r="B183" s="33" t="n"/>
      <c r="C183" s="34" t="n"/>
      <c r="D183" s="34" t="n"/>
      <c r="E183" s="35" t="n"/>
      <c r="F183" s="35" t="n"/>
      <c r="G183" s="41" t="n"/>
      <c r="H183" s="34" t="n"/>
      <c r="I183" s="36" t="n"/>
      <c r="J183" s="37" t="n"/>
    </row>
    <row r="184" ht="15" customHeight="1" s="62">
      <c r="A184" s="54" t="n"/>
      <c r="B184" s="33" t="n"/>
      <c r="C184" s="34" t="n"/>
      <c r="D184" s="34" t="n"/>
      <c r="E184" s="35" t="n"/>
      <c r="F184" s="35" t="n"/>
      <c r="G184" s="41" t="n"/>
      <c r="H184" s="34" t="n"/>
      <c r="I184" s="36" t="n"/>
      <c r="J184" s="37" t="n"/>
    </row>
    <row r="185" ht="15" customHeight="1" s="62">
      <c r="A185" s="54" t="n"/>
      <c r="B185" s="33" t="n"/>
      <c r="C185" s="34" t="n"/>
      <c r="D185" s="34" t="n"/>
      <c r="E185" s="35" t="n"/>
      <c r="F185" s="35" t="n"/>
      <c r="G185" s="41" t="n"/>
      <c r="H185" s="34" t="n"/>
      <c r="I185" s="36" t="n"/>
      <c r="J185" s="37" t="n"/>
    </row>
    <row r="186" ht="15" customHeight="1" s="62">
      <c r="A186" s="54" t="n"/>
      <c r="B186" s="33" t="n"/>
      <c r="C186" s="34" t="n"/>
      <c r="D186" s="34" t="n"/>
      <c r="E186" s="35" t="n"/>
      <c r="F186" s="35" t="n"/>
      <c r="G186" s="41" t="n"/>
      <c r="H186" s="34" t="n"/>
      <c r="I186" s="36" t="n"/>
      <c r="J186" s="37" t="n"/>
    </row>
    <row r="187" ht="15" customHeight="1" s="62">
      <c r="A187" s="54" t="n"/>
      <c r="B187" s="33" t="n"/>
      <c r="C187" s="34" t="n"/>
      <c r="D187" s="34" t="n"/>
      <c r="E187" s="35" t="n"/>
      <c r="F187" s="35" t="n"/>
      <c r="G187" s="41" t="n"/>
      <c r="H187" s="34" t="n"/>
      <c r="I187" s="36" t="n"/>
      <c r="J187" s="37" t="n"/>
    </row>
    <row r="188" ht="15" customHeight="1" s="62">
      <c r="A188" s="54" t="n"/>
      <c r="B188" s="33" t="n"/>
      <c r="C188" s="34" t="n"/>
      <c r="D188" s="34" t="n"/>
      <c r="E188" s="35" t="n"/>
      <c r="F188" s="35" t="n"/>
      <c r="G188" s="41" t="n"/>
      <c r="H188" s="34" t="n"/>
      <c r="I188" s="36" t="n"/>
      <c r="J188" s="37" t="n"/>
    </row>
    <row r="189" ht="15" customHeight="1" s="62">
      <c r="A189" s="54" t="n"/>
      <c r="B189" s="33" t="n"/>
      <c r="C189" s="34" t="n"/>
      <c r="D189" s="34" t="n"/>
      <c r="E189" s="35" t="n"/>
      <c r="F189" s="35" t="n"/>
      <c r="G189" s="41" t="n"/>
      <c r="H189" s="34" t="n"/>
      <c r="I189" s="36" t="n"/>
      <c r="J189" s="37" t="n"/>
    </row>
    <row r="190" ht="15" customHeight="1" s="62">
      <c r="A190" s="54" t="n"/>
      <c r="B190" s="33" t="n"/>
      <c r="C190" s="34" t="n"/>
      <c r="D190" s="34" t="n"/>
      <c r="E190" s="35" t="n"/>
      <c r="F190" s="35" t="n"/>
      <c r="G190" s="41" t="n"/>
      <c r="H190" s="34" t="n"/>
      <c r="I190" s="36" t="n"/>
      <c r="J190" s="37" t="n"/>
    </row>
    <row r="191" ht="15" customHeight="1" s="62">
      <c r="A191" s="54" t="n"/>
      <c r="B191" s="33" t="n"/>
      <c r="C191" s="34" t="n"/>
      <c r="D191" s="34" t="n"/>
      <c r="E191" s="35" t="n"/>
      <c r="F191" s="35" t="n"/>
      <c r="G191" s="41" t="n"/>
      <c r="H191" s="34" t="n"/>
      <c r="I191" s="36" t="n"/>
      <c r="J191" s="37" t="n"/>
    </row>
    <row r="192" ht="15" customHeight="1" s="62">
      <c r="A192" s="54" t="n"/>
      <c r="B192" s="33" t="n"/>
      <c r="C192" s="34" t="n"/>
      <c r="D192" s="34" t="n"/>
      <c r="E192" s="35" t="n"/>
      <c r="F192" s="35" t="n"/>
      <c r="G192" s="41" t="n"/>
      <c r="H192" s="34" t="n"/>
      <c r="I192" s="36" t="n"/>
      <c r="J192" s="37" t="n"/>
    </row>
    <row r="193" ht="15" customHeight="1" s="62">
      <c r="A193" s="54" t="n"/>
      <c r="B193" s="33" t="n"/>
      <c r="C193" s="34" t="n"/>
      <c r="D193" s="34" t="n"/>
      <c r="E193" s="35" t="n"/>
      <c r="F193" s="35" t="n"/>
      <c r="G193" s="41" t="n"/>
      <c r="H193" s="34" t="n"/>
      <c r="I193" s="36" t="n"/>
      <c r="J193" s="37" t="n"/>
    </row>
    <row r="194" ht="15" customHeight="1" s="62">
      <c r="A194" s="54" t="n"/>
      <c r="B194" s="33" t="n"/>
      <c r="C194" s="34" t="n"/>
      <c r="D194" s="34" t="n"/>
      <c r="E194" s="35" t="n"/>
      <c r="F194" s="35" t="n"/>
      <c r="G194" s="41" t="n"/>
      <c r="H194" s="34" t="n"/>
      <c r="I194" s="36" t="n"/>
      <c r="J194" s="37" t="n"/>
    </row>
    <row r="195" ht="15" customHeight="1" s="62">
      <c r="A195" s="54" t="n"/>
      <c r="B195" s="33" t="n"/>
      <c r="C195" s="34" t="n"/>
      <c r="D195" s="34" t="n"/>
      <c r="E195" s="35" t="n"/>
      <c r="F195" s="35" t="n"/>
      <c r="G195" s="41" t="n"/>
      <c r="H195" s="34" t="n"/>
      <c r="I195" s="36" t="n"/>
      <c r="J195" s="37" t="n"/>
    </row>
    <row r="196" ht="15" customHeight="1" s="62">
      <c r="A196" s="54" t="n"/>
      <c r="B196" s="33" t="n"/>
      <c r="C196" s="34" t="n"/>
      <c r="D196" s="34" t="n"/>
      <c r="E196" s="35" t="n"/>
      <c r="F196" s="35" t="n"/>
      <c r="G196" s="41" t="n"/>
      <c r="H196" s="34" t="n"/>
      <c r="I196" s="36" t="n"/>
      <c r="J196" s="37" t="n"/>
    </row>
    <row r="197" ht="15" customHeight="1" s="62">
      <c r="A197" s="54" t="n"/>
      <c r="B197" s="33" t="n"/>
      <c r="C197" s="34" t="n"/>
      <c r="D197" s="34" t="n"/>
      <c r="E197" s="35" t="n"/>
      <c r="F197" s="35" t="n"/>
      <c r="G197" s="41" t="n"/>
      <c r="H197" s="34" t="n"/>
      <c r="I197" s="36" t="n"/>
      <c r="J197" s="37" t="n"/>
    </row>
    <row r="198" ht="15" customHeight="1" s="62">
      <c r="A198" s="54" t="n"/>
      <c r="B198" s="33" t="n"/>
      <c r="C198" s="34" t="n"/>
      <c r="D198" s="34" t="n"/>
      <c r="E198" s="35" t="n"/>
      <c r="F198" s="35" t="n"/>
      <c r="G198" s="41" t="n"/>
      <c r="H198" s="34" t="n"/>
      <c r="I198" s="36" t="n"/>
      <c r="J198" s="37" t="n"/>
    </row>
    <row r="199" ht="15" customHeight="1" s="62">
      <c r="A199" s="54" t="n"/>
      <c r="B199" s="33" t="n"/>
      <c r="C199" s="34" t="n"/>
      <c r="D199" s="34" t="n"/>
      <c r="E199" s="35" t="n"/>
      <c r="F199" s="35" t="n"/>
      <c r="G199" s="41" t="n"/>
      <c r="H199" s="34" t="n"/>
      <c r="I199" s="36" t="n"/>
      <c r="J199" s="37" t="n"/>
    </row>
    <row r="200" ht="15" customHeight="1" s="62">
      <c r="A200" s="54" t="n"/>
      <c r="B200" s="33" t="n"/>
      <c r="C200" s="34" t="n"/>
      <c r="D200" s="34" t="n"/>
      <c r="E200" s="35" t="n"/>
      <c r="F200" s="35" t="n"/>
      <c r="G200" s="41" t="n"/>
      <c r="H200" s="34" t="n"/>
      <c r="I200" s="36" t="n"/>
      <c r="J200" s="37" t="n"/>
    </row>
    <row r="201" ht="15" customHeight="1" s="62">
      <c r="A201" s="54" t="n"/>
      <c r="B201" s="33" t="n"/>
      <c r="C201" s="34" t="n"/>
      <c r="D201" s="34" t="n"/>
      <c r="E201" s="35" t="n"/>
      <c r="F201" s="35" t="n"/>
      <c r="G201" s="41" t="n"/>
      <c r="H201" s="34" t="n"/>
      <c r="I201" s="36" t="n"/>
      <c r="J201" s="37" t="n"/>
    </row>
    <row r="202" ht="15" customHeight="1" s="62">
      <c r="A202" s="54" t="n"/>
      <c r="B202" s="33" t="n"/>
      <c r="C202" s="34" t="n"/>
      <c r="D202" s="34" t="n"/>
      <c r="E202" s="35" t="n"/>
      <c r="F202" s="35" t="n"/>
      <c r="G202" s="41" t="n"/>
      <c r="H202" s="34" t="n"/>
      <c r="I202" s="36" t="n"/>
      <c r="J202" s="37" t="n"/>
    </row>
    <row r="203" ht="15" customHeight="1" s="62">
      <c r="A203" s="54" t="n"/>
      <c r="B203" s="33" t="n"/>
      <c r="C203" s="34" t="n"/>
      <c r="D203" s="34" t="n"/>
      <c r="E203" s="35" t="n"/>
      <c r="F203" s="35" t="n"/>
      <c r="G203" s="41" t="n"/>
      <c r="H203" s="34" t="n"/>
      <c r="I203" s="36" t="n"/>
      <c r="J203" s="37" t="n"/>
    </row>
    <row r="204" ht="15" customHeight="1" s="62">
      <c r="A204" s="54" t="n"/>
      <c r="B204" s="33" t="n"/>
      <c r="C204" s="34" t="n"/>
      <c r="D204" s="34" t="n"/>
      <c r="E204" s="35" t="n"/>
      <c r="F204" s="35" t="n"/>
      <c r="G204" s="41" t="n"/>
      <c r="H204" s="34" t="n"/>
      <c r="I204" s="36" t="n"/>
      <c r="J204" s="37" t="n"/>
    </row>
    <row r="205" ht="15" customHeight="1" s="62">
      <c r="A205" s="54" t="n"/>
      <c r="B205" s="33" t="n"/>
      <c r="C205" s="34" t="n"/>
      <c r="D205" s="34" t="n"/>
      <c r="E205" s="35" t="n"/>
      <c r="F205" s="35" t="n"/>
      <c r="G205" s="41" t="n"/>
      <c r="H205" s="34" t="n"/>
      <c r="I205" s="36" t="n"/>
      <c r="J205" s="37" t="n"/>
    </row>
  </sheetData>
  <mergeCells count="3">
    <mergeCell ref="A1:J1"/>
    <mergeCell ref="A4:J4"/>
    <mergeCell ref="A2:J2"/>
  </mergeCells>
  <conditionalFormatting sqref="A6:H100">
    <cfRule type="expression" priority="9" dxfId="1">
      <formula>$C6="Monthly Rent Charge"</formula>
    </cfRule>
    <cfRule type="expression" priority="11" dxfId="0">
      <formula>$C6="Payment Received"</formula>
    </cfRule>
  </conditionalFormatting>
  <conditionalFormatting sqref="H3">
    <cfRule type="cellIs" priority="16" operator="lessThan" dxfId="3">
      <formula>0</formula>
    </cfRule>
    <cfRule type="cellIs" priority="17" operator="equal" dxfId="3">
      <formula>0</formula>
    </cfRule>
    <cfRule type="cellIs" priority="18" operator="greaterThan" dxfId="2">
      <formula>0</formula>
    </cfRule>
  </conditionalFormatting>
  <conditionalFormatting sqref="I6:I100">
    <cfRule type="cellIs" priority="13" operator="lessThan" dxfId="3">
      <formula>0</formula>
    </cfRule>
    <cfRule type="cellIs" priority="14" operator="equal" dxfId="3">
      <formula>0</formula>
    </cfRule>
    <cfRule type="cellIs" priority="15" operator="greaterThan" dxfId="2">
      <formula>0</formula>
    </cfRule>
  </conditionalFormatting>
  <conditionalFormatting sqref="J6:J100">
    <cfRule type="expression" priority="10" dxfId="1">
      <formula>$C6="Monthly Rent Charge"</formula>
    </cfRule>
    <cfRule type="expression" priority="12" dxfId="0">
      <formula>$C6="Payment Received"</formula>
    </cfRule>
  </conditionalFormatting>
  <dataValidations count="3">
    <dataValidation sqref="B6:B33" showDropDown="0" showInputMessage="0" showErrorMessage="0" allowBlank="1" type="list">
      <formula1>"January,February,March,April,May,June,July,August,September,October,November,December"</formula1>
      <formula2>0</formula2>
    </dataValidation>
    <dataValidation sqref="C6:C33" showDropDown="0" showInputMessage="0" showErrorMessage="0" allowBlank="1" type="list">
      <formula1>"Monthly Rent Charge,Payment Received"</formula1>
      <formula2>0</formula2>
    </dataValidation>
    <dataValidation sqref="A6:A205" showDropDown="0" showInputMessage="1" showErrorMessage="1" allowBlank="1" errorTitle="Invalid date" error="Please enter a valid date." promptTitle="Select a date" prompt="Use the date picker or enter a valid payment date here." type="date">
      <formula1>DATE(2000,1,1)</formula1>
      <formula2>DATE(2100,12,31)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7"/>
  <sheetViews>
    <sheetView topLeftCell="A43" zoomScale="85" zoomScaleNormal="85" workbookViewId="0">
      <selection activeCell="H62" sqref="H62"/>
    </sheetView>
  </sheetViews>
  <sheetFormatPr baseColWidth="8" defaultColWidth="8.6640625" defaultRowHeight="14.4"/>
  <cols>
    <col width="14" customWidth="1" style="62" min="1" max="1"/>
    <col width="24" customWidth="1" style="62" min="3" max="3"/>
    <col width="12.44140625" customWidth="1" style="62" min="4" max="4"/>
    <col width="15" customWidth="1" style="62" min="5" max="5"/>
    <col width="17" customWidth="1" style="62" min="6" max="6"/>
    <col width="18" customWidth="1" style="62" min="7" max="7"/>
    <col width="22" customWidth="1" style="62" min="8" max="8"/>
    <col width="17" customWidth="1" style="62" min="9" max="9"/>
    <col width="30" customWidth="1" style="62" min="10" max="10"/>
    <col width="12" customWidth="1" style="62" min="11" max="11"/>
    <col width="10" customWidth="1" style="62" min="12" max="12"/>
  </cols>
  <sheetData>
    <row r="1" ht="19.5" customHeight="1" s="62">
      <c r="A1" s="74" t="inlineStr">
        <is>
          <t>Unit A4 — Tenant Statement / Ledger</t>
        </is>
      </c>
    </row>
    <row r="2" ht="27.75" customHeight="1" s="62">
      <c r="A2" s="76" t="inlineStr">
        <is>
          <t>Select a month to create a Monthly Rent Charge: the date fills as the first day of that month (current year) and description fills automatically. For a payment, leave Month blank and choose Payment Received.</t>
        </is>
      </c>
    </row>
    <row r="3" ht="15" customHeight="1" s="62">
      <c r="A3" s="25" t="inlineStr">
        <is>
          <t>Unit</t>
        </is>
      </c>
      <c r="B3" s="25" t="inlineStr">
        <is>
          <t>A4</t>
        </is>
      </c>
      <c r="C3" s="25" t="inlineStr">
        <is>
          <t>Current Rent</t>
        </is>
      </c>
      <c r="D3" s="26" t="n">
        <v>3000</v>
      </c>
      <c r="E3" s="26" t="inlineStr">
        <is>
          <t>Garbage</t>
        </is>
      </c>
      <c r="F3" s="26" t="n">
        <v>200</v>
      </c>
      <c r="G3" s="25" t="inlineStr">
        <is>
          <t>Current Balance</t>
        </is>
      </c>
      <c r="H3" s="27">
        <f>IFERROR(LOOKUP(9.99E+307,I6:I73),0)</f>
        <v/>
      </c>
      <c r="I3" s="25" t="inlineStr">
        <is>
          <t>Tenant</t>
        </is>
      </c>
      <c r="J3" s="28" t="inlineStr">
        <is>
          <t>RAPHAEL NDELEVA / BENEDETTAH NDELEVA</t>
        </is>
      </c>
      <c r="K3" s="29" t="inlineStr">
        <is>
          <t>Deposit Held</t>
        </is>
      </c>
      <c r="L3" s="30" t="n">
        <v>0</v>
      </c>
    </row>
    <row r="4">
      <c r="A4" s="75" t="inlineStr">
        <is>
          <t>Current tenant only. When vacating → copy rows to Archive sheet, then clear this ledger.</t>
        </is>
      </c>
    </row>
    <row r="5" ht="15" customHeight="1" s="62">
      <c r="A5" s="31" t="inlineStr">
        <is>
          <t>Date</t>
        </is>
      </c>
      <c r="B5" s="31" t="inlineStr">
        <is>
          <t>Month</t>
        </is>
      </c>
      <c r="C5" s="31" t="inlineStr">
        <is>
          <t>Description</t>
        </is>
      </c>
      <c r="D5" s="31" t="inlineStr">
        <is>
          <t>Tenant</t>
        </is>
      </c>
      <c r="E5" s="31" t="inlineStr">
        <is>
          <t>Rent Charged</t>
        </is>
      </c>
      <c r="F5" s="31" t="inlineStr">
        <is>
          <t>Garbage Charged</t>
        </is>
      </c>
      <c r="G5" s="31" t="inlineStr">
        <is>
          <t>Payment Received</t>
        </is>
      </c>
      <c r="H5" s="31" t="inlineStr">
        <is>
          <t>M-Pesa Reference</t>
        </is>
      </c>
      <c r="I5" s="31" t="inlineStr">
        <is>
          <t>Running Balance</t>
        </is>
      </c>
      <c r="J5" s="31" t="inlineStr">
        <is>
          <t>Remarks</t>
        </is>
      </c>
    </row>
    <row r="6" ht="15" customHeight="1" s="62">
      <c r="A6" s="54" t="n">
        <v>45413</v>
      </c>
      <c r="B6" s="33" t="inlineStr">
        <is>
          <t>May</t>
        </is>
      </c>
      <c r="C6" s="34">
        <f>IF(B6="","","Monthly Rent Charge")</f>
        <v/>
      </c>
      <c r="D6" s="34" t="n"/>
      <c r="E6" s="35">
        <f>IF(C6="Monthly Rent Charge",$D$3,"")</f>
        <v/>
      </c>
      <c r="F6" s="35">
        <f>IF(C6="Monthly Rent Charge",$F$3,"")</f>
        <v/>
      </c>
      <c r="G6" s="41" t="n"/>
      <c r="H6" s="34" t="n"/>
      <c r="I6" s="36">
        <f>IF(A6="","",IF(C6="Payment Received",-IFERROR(G6,0),IF(C6="Monthly Rent Charge",IFERROR(E6,0)+IFERROR(F6,0),0)))</f>
        <v/>
      </c>
      <c r="J6" s="37" t="n"/>
    </row>
    <row r="7" ht="15" customHeight="1" s="62">
      <c r="A7" s="53" t="n">
        <v>45420</v>
      </c>
      <c r="B7" s="33" t="n"/>
      <c r="C7" s="34" t="inlineStr">
        <is>
          <t>Payment Received</t>
        </is>
      </c>
      <c r="D7" s="34" t="n"/>
      <c r="E7" s="35" t="n"/>
      <c r="F7" s="35" t="n"/>
      <c r="G7" s="41" t="n">
        <v>3200</v>
      </c>
      <c r="H7" s="39" t="inlineStr">
        <is>
          <t>SE86JZPCN2</t>
        </is>
      </c>
      <c r="I7" s="36">
        <f>IF(A7="","",IF(C7="Payment Received",I6-IFERROR(G7,0),IF(C7="Monthly Rent Charge",I6+IFERROR(E7,0)+IFERROR(F7,0),I6)))</f>
        <v/>
      </c>
      <c r="J7" s="37" t="n"/>
    </row>
    <row r="8" ht="15" customHeight="1" s="62">
      <c r="A8" s="54" t="n">
        <v>45444</v>
      </c>
      <c r="B8" s="33" t="inlineStr">
        <is>
          <t>June</t>
        </is>
      </c>
      <c r="C8" s="34">
        <f>IF(B8="","","Monthly Rent Charge")</f>
        <v/>
      </c>
      <c r="D8" s="34" t="n"/>
      <c r="E8" s="35">
        <f>IF(C8="Monthly Rent Charge",$D$3,"")</f>
        <v/>
      </c>
      <c r="F8" s="35">
        <f>IF(C8="Monthly Rent Charge",$F$3,"")</f>
        <v/>
      </c>
      <c r="G8" s="41" t="n"/>
      <c r="H8" s="34" t="n"/>
      <c r="I8" s="36">
        <f>IF(A8="","",IF(C8="Payment Received",I7-IFERROR(G8,0),IF(C8="Monthly Rent Charge",I7+IFERROR(E8,0)+IFERROR(F8,0),I7)))</f>
        <v/>
      </c>
      <c r="J8" s="37" t="n"/>
    </row>
    <row r="9" ht="15" customHeight="1" s="62">
      <c r="A9" s="53" t="n">
        <v>45452</v>
      </c>
      <c r="B9" s="33" t="n"/>
      <c r="C9" s="34" t="inlineStr">
        <is>
          <t>Payment Received</t>
        </is>
      </c>
      <c r="D9" s="34" t="n"/>
      <c r="E9" s="35" t="n"/>
      <c r="F9" s="35" t="n"/>
      <c r="G9" s="41" t="n">
        <v>3200</v>
      </c>
      <c r="H9" s="39" t="inlineStr">
        <is>
          <t>SF96VY6NXY</t>
        </is>
      </c>
      <c r="I9" s="36">
        <f>IF(A9="","",IF(C9="Payment Received",I8-IFERROR(G9,0),IF(C9="Monthly Rent Charge",I8+IFERROR(E9,0)+IFERROR(F9,0),I8)))</f>
        <v/>
      </c>
      <c r="J9" s="37" t="n"/>
    </row>
    <row r="10" ht="15" customHeight="1" s="62">
      <c r="A10" s="54" t="n">
        <v>45474</v>
      </c>
      <c r="B10" s="33" t="inlineStr">
        <is>
          <t>July</t>
        </is>
      </c>
      <c r="C10" s="34">
        <f>IF(B10="","","Monthly Rent Charge")</f>
        <v/>
      </c>
      <c r="D10" s="34" t="n"/>
      <c r="E10" s="35">
        <f>IF(C10="Monthly Rent Charge",$D$3,"")</f>
        <v/>
      </c>
      <c r="F10" s="35">
        <f>IF(C10="Monthly Rent Charge",$F$3,"")</f>
        <v/>
      </c>
      <c r="G10" s="41" t="n"/>
      <c r="H10" s="34" t="n"/>
      <c r="I10" s="36">
        <f>IF(A10="","",IF(C10="Payment Received",I9-IFERROR(G10,0),IF(C10="Monthly Rent Charge",I9+IFERROR(E10,0)+IFERROR(F10,0),I9)))</f>
        <v/>
      </c>
      <c r="J10" s="37" t="n"/>
    </row>
    <row r="11" ht="15" customHeight="1" s="62">
      <c r="A11" s="53" t="n">
        <v>45482</v>
      </c>
      <c r="B11" s="33" t="n"/>
      <c r="C11" s="34" t="inlineStr">
        <is>
          <t>Payment Received</t>
        </is>
      </c>
      <c r="D11" s="34" t="n"/>
      <c r="E11" s="35" t="n"/>
      <c r="F11" s="35" t="n"/>
      <c r="G11" s="41" t="n">
        <v>3200</v>
      </c>
      <c r="H11" s="39" t="inlineStr">
        <is>
          <t>SG974VW31B</t>
        </is>
      </c>
      <c r="I11" s="36">
        <f>IF(A11="","",IF(C11="Payment Received",I10-IFERROR(G11,0),IF(C11="Monthly Rent Charge",I10+IFERROR(E11,0)+IFERROR(F11,0),I10)))</f>
        <v/>
      </c>
      <c r="J11" s="37" t="n"/>
    </row>
    <row r="12" ht="15" customHeight="1" s="62">
      <c r="A12" s="54" t="n">
        <v>45505</v>
      </c>
      <c r="B12" s="33" t="inlineStr">
        <is>
          <t>August</t>
        </is>
      </c>
      <c r="C12" s="34" t="inlineStr">
        <is>
          <t>Monthly Rent Charge</t>
        </is>
      </c>
      <c r="D12" s="34" t="n"/>
      <c r="E12" s="35">
        <f>IF(C12="Monthly Rent Charge",$D$3,"")</f>
        <v/>
      </c>
      <c r="F12" s="35">
        <f>IF(C12="Monthly Rent Charge",$F$3,"")</f>
        <v/>
      </c>
      <c r="G12" s="41" t="n"/>
      <c r="H12" s="34" t="n"/>
      <c r="I12" s="36">
        <f>IF(A12="","",IF(C12="Payment Received",I11-IFERROR(G12,0),IF(C12="Monthly Rent Charge",I11+IFERROR(E12,0)+IFERROR(F12,0),I11)))</f>
        <v/>
      </c>
      <c r="J12" s="37" t="n"/>
    </row>
    <row r="13" ht="15" customHeight="1" s="62">
      <c r="A13" s="53" t="n">
        <v>45514</v>
      </c>
      <c r="B13" s="33" t="n"/>
      <c r="C13" s="34" t="inlineStr">
        <is>
          <t>Payment Received</t>
        </is>
      </c>
      <c r="D13" s="34" t="n"/>
      <c r="E13" s="35" t="n"/>
      <c r="F13" s="35" t="n"/>
      <c r="G13" s="41" t="n">
        <v>3200</v>
      </c>
      <c r="H13" s="39" t="inlineStr">
        <is>
          <t>SHA2JVN500</t>
        </is>
      </c>
      <c r="I13" s="36">
        <f>IF(A13="","",IF(C13="Payment Received",I12-IFERROR(G13,0),IF(C13="Monthly Rent Charge",I12+IFERROR(E13,0)+IFERROR(F13,0),I12)))</f>
        <v/>
      </c>
      <c r="J13" s="37" t="n"/>
    </row>
    <row r="14" ht="15" customHeight="1" s="62">
      <c r="A14" s="54" t="n">
        <v>45536</v>
      </c>
      <c r="B14" s="33" t="inlineStr">
        <is>
          <t>September</t>
        </is>
      </c>
      <c r="C14" s="34" t="inlineStr">
        <is>
          <t>Monthly Rent Charge</t>
        </is>
      </c>
      <c r="D14" s="34" t="n"/>
      <c r="E14" s="35">
        <f>IF(C14="Monthly Rent Charge",$D$3,"")</f>
        <v/>
      </c>
      <c r="F14" s="35">
        <f>IF(C14="Monthly Rent Charge",$F$3,"")</f>
        <v/>
      </c>
      <c r="G14" s="41" t="n"/>
      <c r="H14" s="34" t="n"/>
      <c r="I14" s="36">
        <f>IF(A14="","",IF(C14="Payment Received",I13-IFERROR(G14,0),IF(C14="Monthly Rent Charge",I13+IFERROR(E14,0)+IFERROR(F14,0),I13)))</f>
        <v/>
      </c>
      <c r="J14" s="37" t="n"/>
    </row>
    <row r="15" ht="15" customHeight="1" s="62">
      <c r="A15" s="53" t="n">
        <v>45545</v>
      </c>
      <c r="B15" s="33" t="n"/>
      <c r="C15" s="34" t="inlineStr">
        <is>
          <t>Payment Received</t>
        </is>
      </c>
      <c r="D15" s="34" t="n"/>
      <c r="E15" s="35" t="n"/>
      <c r="F15" s="35" t="n"/>
      <c r="G15" s="41" t="n">
        <v>3200</v>
      </c>
      <c r="H15" s="39" t="inlineStr">
        <is>
          <t>SIA92B1A6T</t>
        </is>
      </c>
      <c r="I15" s="36">
        <f>IF(A15="","",IF(C15="Payment Received",I14-IFERROR(G15,0),IF(C15="Monthly Rent Charge",I14+IFERROR(E15,0)+IFERROR(F15,0),I14)))</f>
        <v/>
      </c>
      <c r="J15" s="37" t="n"/>
    </row>
    <row r="16" ht="15" customHeight="1" s="62">
      <c r="A16" s="54" t="n">
        <v>45566</v>
      </c>
      <c r="B16" s="33" t="inlineStr">
        <is>
          <t>October</t>
        </is>
      </c>
      <c r="C16" s="34">
        <f>IF(B16="","","Monthly Rent Charge")</f>
        <v/>
      </c>
      <c r="D16" s="34" t="n"/>
      <c r="E16" s="35">
        <f>IF(C16="Monthly Rent Charge",$D$3,"")</f>
        <v/>
      </c>
      <c r="F16" s="35">
        <f>IF(C16="Monthly Rent Charge",$F$3,"")</f>
        <v/>
      </c>
      <c r="G16" s="41" t="n"/>
      <c r="H16" s="34" t="n"/>
      <c r="I16" s="36">
        <f>IF(A16="","",IF(C16="Payment Received",I15-IFERROR(G16,0),IF(C16="Monthly Rent Charge",I15+IFERROR(E16,0)+IFERROR(F16,0),I15)))</f>
        <v/>
      </c>
      <c r="J16" s="37" t="n"/>
    </row>
    <row r="17" ht="15" customHeight="1" s="62">
      <c r="A17" s="53" t="n">
        <v>45575</v>
      </c>
      <c r="B17" s="33" t="n"/>
      <c r="C17" s="34" t="inlineStr">
        <is>
          <t>Payment Received</t>
        </is>
      </c>
      <c r="D17" s="34" t="n"/>
      <c r="E17" s="35" t="n"/>
      <c r="F17" s="35" t="n"/>
      <c r="G17" s="41" t="n">
        <v>3200</v>
      </c>
      <c r="H17" s="39" t="inlineStr">
        <is>
          <t>SJA5JU1PN7</t>
        </is>
      </c>
      <c r="I17" s="36">
        <f>IF(A17="","",IF(C17="Payment Received",I16-IFERROR(G17,0),IF(C17="Monthly Rent Charge",I16+IFERROR(E17,0)+IFERROR(F17,0),I16)))</f>
        <v/>
      </c>
      <c r="J17" s="37" t="n"/>
    </row>
    <row r="18" ht="15" customHeight="1" s="62">
      <c r="A18" s="54" t="n">
        <v>45597</v>
      </c>
      <c r="B18" s="33" t="inlineStr">
        <is>
          <t>November</t>
        </is>
      </c>
      <c r="C18" s="34">
        <f>IF(B18="","","Monthly Rent Charge")</f>
        <v/>
      </c>
      <c r="D18" s="34" t="n"/>
      <c r="E18" s="35">
        <f>IF(C18="Monthly Rent Charge",$D$3,"")</f>
        <v/>
      </c>
      <c r="F18" s="35">
        <f>IF(C18="Monthly Rent Charge",$F$3,"")</f>
        <v/>
      </c>
      <c r="G18" s="41" t="n"/>
      <c r="H18" s="34" t="n"/>
      <c r="I18" s="36">
        <f>IF(A18="","",IF(C18="Payment Received",I17-IFERROR(G18,0),IF(C18="Monthly Rent Charge",I17+IFERROR(E18,0)+IFERROR(F18,0),I17)))</f>
        <v/>
      </c>
      <c r="J18" s="37" t="n"/>
    </row>
    <row r="19" ht="15" customHeight="1" s="62">
      <c r="A19" s="53" t="n">
        <v>45606</v>
      </c>
      <c r="B19" s="33" t="n"/>
      <c r="C19" s="34" t="inlineStr">
        <is>
          <t>Payment Received</t>
        </is>
      </c>
      <c r="D19" s="34" t="n"/>
      <c r="E19" s="35" t="n"/>
      <c r="F19" s="35" t="n"/>
      <c r="G19" s="41" t="n">
        <v>3200</v>
      </c>
      <c r="H19" s="39" t="inlineStr">
        <is>
          <t>SKA8CNTZV8</t>
        </is>
      </c>
      <c r="I19" s="36">
        <f>IF(A19="","",IF(C19="Payment Received",I18-IFERROR(G19,0),IF(C19="Monthly Rent Charge",I18+IFERROR(E19,0)+IFERROR(F19,0),I18)))</f>
        <v/>
      </c>
      <c r="J19" s="37" t="n"/>
    </row>
    <row r="20" ht="15" customHeight="1" s="62">
      <c r="A20" s="54" t="n">
        <v>45627</v>
      </c>
      <c r="B20" s="33" t="inlineStr">
        <is>
          <t>December</t>
        </is>
      </c>
      <c r="C20" s="34">
        <f>IF(B20="","","Monthly Rent Charge")</f>
        <v/>
      </c>
      <c r="D20" s="34" t="n"/>
      <c r="E20" s="35">
        <f>IF(C20="Monthly Rent Charge",$D$3,"")</f>
        <v/>
      </c>
      <c r="F20" s="35">
        <f>IF(C20="Monthly Rent Charge",$F$3,"")</f>
        <v/>
      </c>
      <c r="G20" s="41" t="n"/>
      <c r="H20" s="34" t="n"/>
      <c r="I20" s="36">
        <f>IF(A20="","",IF(C20="Payment Received",I19-IFERROR(G20,0),IF(C20="Monthly Rent Charge",I19+IFERROR(E20,0)+IFERROR(F20,0),I19)))</f>
        <v/>
      </c>
      <c r="J20" s="37" t="n"/>
    </row>
    <row r="21" ht="15" customHeight="1" s="62">
      <c r="A21" s="53" t="n">
        <v>45636</v>
      </c>
      <c r="B21" s="33" t="n"/>
      <c r="C21" s="34" t="inlineStr">
        <is>
          <t>Payment Received</t>
        </is>
      </c>
      <c r="D21" s="34" t="n"/>
      <c r="E21" s="35" t="n"/>
      <c r="F21" s="35" t="n"/>
      <c r="G21" s="41" t="n">
        <v>3200</v>
      </c>
      <c r="H21" s="39" t="inlineStr">
        <is>
          <t>SLA8ZXHCHE</t>
        </is>
      </c>
      <c r="I21" s="36">
        <f>IF(A21="","",IF(C21="Payment Received",I20-IFERROR(G21,0),IF(C21="Monthly Rent Charge",I20+IFERROR(E21,0)+IFERROR(F21,0),I20)))</f>
        <v/>
      </c>
      <c r="J21" s="37" t="n"/>
    </row>
    <row r="22" ht="15" customHeight="1" s="62">
      <c r="A22" s="54" t="n">
        <v>45658</v>
      </c>
      <c r="B22" s="33" t="inlineStr">
        <is>
          <t>January</t>
        </is>
      </c>
      <c r="C22" s="34" t="inlineStr">
        <is>
          <t>Monthly Rent Charge</t>
        </is>
      </c>
      <c r="D22" s="34" t="n"/>
      <c r="E22" s="35">
        <f>IF(C22="Monthly Rent Charge",$D$3,"")</f>
        <v/>
      </c>
      <c r="F22" s="35">
        <f>IF(C22="Monthly Rent Charge",$F$3,"")</f>
        <v/>
      </c>
      <c r="G22" s="41" t="n"/>
      <c r="H22" s="34" t="n"/>
      <c r="I22" s="36">
        <f>IF(A22="","",IF(C22="Payment Received",I21-IFERROR(G22,0),IF(C22="Monthly Rent Charge",I21+IFERROR(E22,0)+IFERROR(F22,0),I21)))</f>
        <v/>
      </c>
      <c r="J22" s="37" t="n"/>
    </row>
    <row r="23" ht="15" customHeight="1" s="62">
      <c r="A23" s="53" t="n">
        <v>45666</v>
      </c>
      <c r="B23" s="33" t="n"/>
      <c r="C23" s="34" t="inlineStr">
        <is>
          <t>Payment Received</t>
        </is>
      </c>
      <c r="D23" s="34" t="n"/>
      <c r="E23" s="35" t="n"/>
      <c r="F23" s="35" t="n"/>
      <c r="G23" s="41" t="n">
        <v>3200</v>
      </c>
      <c r="H23" s="39" t="inlineStr">
        <is>
          <t>TA93LIURJX</t>
        </is>
      </c>
      <c r="I23" s="36">
        <f>IF(A23="","",IF(C23="Payment Received",I22-IFERROR(G23,0),IF(C23="Monthly Rent Charge",I22+IFERROR(E23,0)+IFERROR(F23,0),I22)))</f>
        <v/>
      </c>
      <c r="J23" s="37" t="n"/>
    </row>
    <row r="24" ht="15" customHeight="1" s="62">
      <c r="A24" s="54" t="n">
        <v>45689</v>
      </c>
      <c r="B24" s="33" t="inlineStr">
        <is>
          <t>February</t>
        </is>
      </c>
      <c r="C24" s="34">
        <f>IF(B24="","","Monthly Rent Charge")</f>
        <v/>
      </c>
      <c r="D24" s="34" t="n"/>
      <c r="E24" s="35">
        <f>IF(C24="Monthly Rent Charge",$D$3,"")</f>
        <v/>
      </c>
      <c r="F24" s="35">
        <f>IF(C24="Monthly Rent Charge",$F$3,"")</f>
        <v/>
      </c>
      <c r="G24" s="41" t="n"/>
      <c r="H24" s="34" t="n"/>
      <c r="I24" s="36">
        <f>IF(A24="","",IF(C24="Payment Received",I23-IFERROR(G24,0),IF(C24="Monthly Rent Charge",I23+IFERROR(E24,0)+IFERROR(F24,0),I23)))</f>
        <v/>
      </c>
      <c r="J24" s="37" t="n"/>
    </row>
    <row r="25" ht="15" customHeight="1" s="62">
      <c r="A25" s="53" t="n">
        <v>45698</v>
      </c>
      <c r="B25" s="33" t="n"/>
      <c r="C25" s="34" t="inlineStr">
        <is>
          <t>Payment Received</t>
        </is>
      </c>
      <c r="D25" s="34" t="n"/>
      <c r="E25" s="35" t="n"/>
      <c r="F25" s="35" t="n"/>
      <c r="G25" s="41" t="n">
        <v>3200</v>
      </c>
      <c r="H25" s="39" t="inlineStr">
        <is>
          <t>TBA8G3NFOG</t>
        </is>
      </c>
      <c r="I25" s="36">
        <f>IF(A25="","",IF(C25="Payment Received",I24-IFERROR(G25,0),IF(C25="Monthly Rent Charge",I24+IFERROR(E25,0)+IFERROR(F25,0),I24)))</f>
        <v/>
      </c>
      <c r="J25" s="37" t="n"/>
    </row>
    <row r="26" ht="15" customHeight="1" s="62">
      <c r="A26" s="54" t="n">
        <v>45717</v>
      </c>
      <c r="B26" s="33" t="inlineStr">
        <is>
          <t>March</t>
        </is>
      </c>
      <c r="C26" s="34">
        <f>IF(B26="","","Monthly Rent Charge")</f>
        <v/>
      </c>
      <c r="D26" s="34" t="n"/>
      <c r="E26" s="35">
        <f>IF(C26="Monthly Rent Charge",$D$3,"")</f>
        <v/>
      </c>
      <c r="F26" s="35">
        <f>IF(C26="Monthly Rent Charge",$F$3,"")</f>
        <v/>
      </c>
      <c r="G26" s="41" t="n"/>
      <c r="H26" s="34" t="n"/>
      <c r="I26" s="36">
        <f>IF(A26="","",IF(C26="Payment Received",I25-IFERROR(G26,0),IF(C26="Monthly Rent Charge",I25+IFERROR(E26,0)+IFERROR(F26,0),I25)))</f>
        <v/>
      </c>
      <c r="J26" s="37" t="n"/>
    </row>
    <row r="27" ht="15" customHeight="1" s="62">
      <c r="A27" s="53" t="n">
        <v>45725</v>
      </c>
      <c r="B27" s="33" t="n"/>
      <c r="C27" s="34" t="inlineStr">
        <is>
          <t>Payment Received</t>
        </is>
      </c>
      <c r="D27" s="34" t="n"/>
      <c r="E27" s="35" t="n"/>
      <c r="F27" s="35" t="n"/>
      <c r="G27" s="41" t="n">
        <v>3200</v>
      </c>
      <c r="H27" s="39" t="inlineStr">
        <is>
          <t>TC931LUOB5</t>
        </is>
      </c>
      <c r="I27" s="36">
        <f>IF(A27="","",IF(C27="Payment Received",I26-IFERROR(G27,0),IF(C27="Monthly Rent Charge",I26+IFERROR(E27,0)+IFERROR(F27,0),I26)))</f>
        <v/>
      </c>
      <c r="J27" s="37" t="n"/>
    </row>
    <row r="28" ht="15" customHeight="1" s="62">
      <c r="A28" s="54" t="n">
        <v>45748</v>
      </c>
      <c r="B28" s="33" t="inlineStr">
        <is>
          <t>April</t>
        </is>
      </c>
      <c r="C28" s="34">
        <f>IF(B28="","","Monthly Rent Charge")</f>
        <v/>
      </c>
      <c r="D28" s="34" t="n"/>
      <c r="E28" s="35">
        <f>IF(C28="Monthly Rent Charge",$D$3,"")</f>
        <v/>
      </c>
      <c r="F28" s="35">
        <f>IF(C28="Monthly Rent Charge",$F$3,"")</f>
        <v/>
      </c>
      <c r="G28" s="41" t="n"/>
      <c r="H28" s="34" t="n"/>
      <c r="I28" s="36">
        <f>IF(A28="","",IF(C28="Payment Received",I27-IFERROR(G28,0),IF(C28="Monthly Rent Charge",I27+IFERROR(E28,0)+IFERROR(F28,0),I27)))</f>
        <v/>
      </c>
      <c r="J28" s="37" t="n"/>
    </row>
    <row r="29" ht="15" customHeight="1" s="62">
      <c r="A29" s="53" t="n">
        <v>45757</v>
      </c>
      <c r="B29" s="33" t="n"/>
      <c r="C29" s="34" t="inlineStr">
        <is>
          <t>Payment Received</t>
        </is>
      </c>
      <c r="D29" s="34" t="n"/>
      <c r="E29" s="35" t="n"/>
      <c r="F29" s="35" t="n"/>
      <c r="G29" s="41" t="n">
        <v>3200</v>
      </c>
      <c r="H29" s="39" t="inlineStr">
        <is>
          <t>TDA87E6O5M</t>
        </is>
      </c>
      <c r="I29" s="36">
        <f>IF(A29="","",IF(C29="Payment Received",I28-IFERROR(G29,0),IF(C29="Monthly Rent Charge",I28+IFERROR(E29,0)+IFERROR(F29,0),I28)))</f>
        <v/>
      </c>
      <c r="J29" s="37" t="n"/>
    </row>
    <row r="30" ht="15" customHeight="1" s="62">
      <c r="A30" s="54" t="n">
        <v>45778</v>
      </c>
      <c r="B30" s="33" t="inlineStr">
        <is>
          <t>May</t>
        </is>
      </c>
      <c r="C30" s="34">
        <f>IF(B30="","","Monthly Rent Charge")</f>
        <v/>
      </c>
      <c r="D30" s="34" t="n"/>
      <c r="E30" s="35">
        <f>IF(C30="Monthly Rent Charge",$D$3,"")</f>
        <v/>
      </c>
      <c r="F30" s="35">
        <f>IF(C30="Monthly Rent Charge",$F$3,"")</f>
        <v/>
      </c>
      <c r="G30" s="41" t="n"/>
      <c r="H30" s="34" t="n"/>
      <c r="I30" s="36">
        <f>IF(A30="","",IF(C30="Payment Received",I29-IFERROR(G30,0),IF(C30="Monthly Rent Charge",I29+IFERROR(E30,0)+IFERROR(F30,0),I29)))</f>
        <v/>
      </c>
      <c r="J30" s="37" t="n"/>
    </row>
    <row r="31" ht="15" customHeight="1" s="62">
      <c r="A31" s="53" t="n">
        <v>45787</v>
      </c>
      <c r="B31" s="33" t="n"/>
      <c r="C31" s="34" t="inlineStr">
        <is>
          <t>Payment Received</t>
        </is>
      </c>
      <c r="D31" s="34" t="n"/>
      <c r="E31" s="35" t="n"/>
      <c r="F31" s="35" t="n"/>
      <c r="G31" s="41" t="n">
        <v>3200</v>
      </c>
      <c r="H31" s="39" t="inlineStr">
        <is>
          <t>TEA06SQNHA</t>
        </is>
      </c>
      <c r="I31" s="36">
        <f>IF(A31="","",IF(C31="Payment Received",I30-IFERROR(G31,0),IF(C31="Monthly Rent Charge",I30+IFERROR(E31,0)+IFERROR(F31,0),I30)))</f>
        <v/>
      </c>
      <c r="J31" s="37" t="n"/>
    </row>
    <row r="32" ht="15" customHeight="1" s="62">
      <c r="A32" s="54" t="n">
        <v>45779</v>
      </c>
      <c r="B32" s="33" t="inlineStr">
        <is>
          <t>June</t>
        </is>
      </c>
      <c r="C32" s="34">
        <f>IF(B32="","","Monthly Rent Charge")</f>
        <v/>
      </c>
      <c r="D32" s="34" t="n"/>
      <c r="E32" s="35">
        <f>IF(C32="Monthly Rent Charge",$D$3,"")</f>
        <v/>
      </c>
      <c r="F32" s="35">
        <f>IF(C32="Monthly Rent Charge",$F$3,"")</f>
        <v/>
      </c>
      <c r="G32" s="41" t="n"/>
      <c r="H32" s="34" t="n"/>
      <c r="I32" s="36">
        <f>IF(A32="","",IF(C32="Payment Received",I31-IFERROR(G32,0),IF(C32="Monthly Rent Charge",I31+IFERROR(E32,0)+IFERROR(F32,0),I31)))</f>
        <v/>
      </c>
      <c r="J32" s="37" t="n"/>
    </row>
    <row r="33" ht="15" customHeight="1" s="62">
      <c r="A33" s="53" t="n">
        <v>45818</v>
      </c>
      <c r="B33" s="33" t="n"/>
      <c r="C33" s="34" t="inlineStr">
        <is>
          <t>Payment Received</t>
        </is>
      </c>
      <c r="D33" s="34" t="n"/>
      <c r="E33" s="35" t="n"/>
      <c r="F33" s="35" t="n"/>
      <c r="G33" s="41" t="n">
        <v>3200</v>
      </c>
      <c r="H33" s="39" t="inlineStr">
        <is>
          <t>TFA3A1JX4L</t>
        </is>
      </c>
      <c r="I33" s="36">
        <f>IF(A33="","",IF(C33="Payment Received",I32-IFERROR(G33,0),IF(C33="Monthly Rent Charge",I32+IFERROR(E33,0)+IFERROR(F33,0),I32)))</f>
        <v/>
      </c>
      <c r="J33" s="37" t="n"/>
    </row>
    <row r="34" ht="15" customHeight="1" s="62">
      <c r="A34" s="54" t="n">
        <v>45780</v>
      </c>
      <c r="B34" s="33" t="inlineStr">
        <is>
          <t>July</t>
        </is>
      </c>
      <c r="C34" s="34">
        <f>IF(B34="","","Monthly Rent Charge")</f>
        <v/>
      </c>
      <c r="D34" s="34" t="n"/>
      <c r="E34" s="35">
        <f>IF(C34="Monthly Rent Charge",$D$3,"")</f>
        <v/>
      </c>
      <c r="F34" s="35">
        <f>IF(C34="Monthly Rent Charge",$F$3,"")</f>
        <v/>
      </c>
      <c r="G34" s="41" t="n"/>
      <c r="H34" s="34" t="n"/>
      <c r="I34" s="36">
        <f>IF(A34="","",IF(C34="Payment Received",I33-IFERROR(G34,0),IF(C34="Monthly Rent Charge",I33+IFERROR(E34,0)+IFERROR(F34,0),I33)))</f>
        <v/>
      </c>
      <c r="J34" s="37" t="n"/>
    </row>
    <row r="35" ht="15" customHeight="1" s="62">
      <c r="A35" s="53" t="n">
        <v>45483</v>
      </c>
      <c r="B35" s="33" t="n"/>
      <c r="C35" s="34" t="inlineStr">
        <is>
          <t>Payment Received</t>
        </is>
      </c>
      <c r="D35" s="34" t="n"/>
      <c r="E35" s="35" t="n"/>
      <c r="F35" s="35" t="n"/>
      <c r="G35" s="41" t="n">
        <v>3200</v>
      </c>
      <c r="H35" s="39" t="inlineStr">
        <is>
          <t>TGA1DUSCK3</t>
        </is>
      </c>
      <c r="I35" s="36">
        <f>IF(A35="","",IF(C35="Payment Received",I34-IFERROR(G35,0),IF(C35="Monthly Rent Charge",I34+IFERROR(E35,0)+IFERROR(F35,0),I34)))</f>
        <v/>
      </c>
      <c r="J35" s="37" t="n"/>
    </row>
    <row r="36" ht="15" customHeight="1" s="62">
      <c r="A36" s="54" t="n">
        <v>45781</v>
      </c>
      <c r="B36" s="33" t="inlineStr">
        <is>
          <t>August</t>
        </is>
      </c>
      <c r="C36" s="34">
        <f>IF(B36="","","Monthly Rent Charge")</f>
        <v/>
      </c>
      <c r="D36" s="34" t="n"/>
      <c r="E36" s="35">
        <f>IF(C36="Monthly Rent Charge",$D$3,"")</f>
        <v/>
      </c>
      <c r="F36" s="35">
        <f>IF(C36="Monthly Rent Charge",$F$3,"")</f>
        <v/>
      </c>
      <c r="G36" s="41" t="n"/>
      <c r="H36" s="34" t="n"/>
      <c r="I36" s="36">
        <f>IF(A36="","",IF(C36="Payment Received",I35-IFERROR(G36,0),IF(C36="Monthly Rent Charge",I35+IFERROR(E36,0)+IFERROR(F36,0),I35)))</f>
        <v/>
      </c>
      <c r="J36" s="37" t="n"/>
    </row>
    <row r="37" ht="15" customHeight="1" s="62">
      <c r="A37" s="53" t="n">
        <v>45879</v>
      </c>
      <c r="B37" s="33" t="n"/>
      <c r="C37" s="34" t="inlineStr">
        <is>
          <t>Payment Received</t>
        </is>
      </c>
      <c r="D37" s="34" t="n"/>
      <c r="E37" s="35" t="n"/>
      <c r="F37" s="35" t="n"/>
      <c r="G37" s="41" t="n">
        <v>3200</v>
      </c>
      <c r="H37" s="39" t="inlineStr">
        <is>
          <t>THA2SHDDI8</t>
        </is>
      </c>
      <c r="I37" s="36">
        <f>IF(A37="","",IF(C37="Payment Received",I36-IFERROR(G37,0),IF(C37="Monthly Rent Charge",I36+IFERROR(E37,0)+IFERROR(F37,0),I36)))</f>
        <v/>
      </c>
      <c r="J37" s="37" t="n"/>
    </row>
    <row r="38" ht="15" customHeight="1" s="62">
      <c r="A38" s="54" t="n">
        <v>45782</v>
      </c>
      <c r="B38" s="33" t="inlineStr">
        <is>
          <t>September</t>
        </is>
      </c>
      <c r="C38" s="34">
        <f>IF(B38="","","Monthly Rent Charge")</f>
        <v/>
      </c>
      <c r="D38" s="34" t="n"/>
      <c r="E38" s="35">
        <f>IF(C38="Monthly Rent Charge",$D$3,"")</f>
        <v/>
      </c>
      <c r="F38" s="35">
        <f>IF(C38="Monthly Rent Charge",$F$3,"")</f>
        <v/>
      </c>
      <c r="G38" s="41" t="n"/>
      <c r="H38" s="34" t="n"/>
      <c r="I38" s="36">
        <f>IF(A38="","",IF(C38="Payment Received",I37-IFERROR(G38,0),IF(C38="Monthly Rent Charge",I37+IFERROR(E38,0)+IFERROR(F38,0),I37)))</f>
        <v/>
      </c>
      <c r="J38" s="37" t="n"/>
    </row>
    <row r="39" ht="15" customHeight="1" s="62">
      <c r="A39" s="53" t="n">
        <v>45909</v>
      </c>
      <c r="B39" s="33" t="n"/>
      <c r="C39" s="34" t="inlineStr">
        <is>
          <t>Payment Received</t>
        </is>
      </c>
      <c r="D39" s="34" t="n"/>
      <c r="E39" s="35" t="n"/>
      <c r="F39" s="35" t="n"/>
      <c r="G39" s="41" t="n">
        <v>3200</v>
      </c>
      <c r="H39" s="39" t="inlineStr">
        <is>
          <t>TI9444DD9G</t>
        </is>
      </c>
      <c r="I39" s="36">
        <f>IF(A39="","",IF(C39="Payment Received",I38-IFERROR(G39,0),IF(C39="Monthly Rent Charge",I38+IFERROR(E39,0)+IFERROR(F39,0),I38)))</f>
        <v/>
      </c>
      <c r="J39" s="37" t="n"/>
    </row>
    <row r="40" ht="15" customHeight="1" s="62">
      <c r="A40" s="54" t="n">
        <v>45783</v>
      </c>
      <c r="B40" s="33" t="inlineStr">
        <is>
          <t>October</t>
        </is>
      </c>
      <c r="C40" s="34">
        <f>IF(B40="","","Monthly Rent Charge")</f>
        <v/>
      </c>
      <c r="D40" s="34" t="n"/>
      <c r="E40" s="35">
        <f>IF(C40="Monthly Rent Charge",$D$3,"")</f>
        <v/>
      </c>
      <c r="F40" s="35">
        <f>IF(C40="Monthly Rent Charge",$F$3,"")</f>
        <v/>
      </c>
      <c r="G40" s="41" t="n"/>
      <c r="H40" s="34" t="n"/>
      <c r="I40" s="36">
        <f>IF(A40="","",IF(C40="Payment Received",I39-IFERROR(G40,0),IF(C40="Monthly Rent Charge",I39+IFERROR(E40,0)+IFERROR(F40,0),I39)))</f>
        <v/>
      </c>
      <c r="J40" s="37" t="n"/>
    </row>
    <row r="41" ht="15" customHeight="1" s="62">
      <c r="A41" s="53" t="n">
        <v>45940</v>
      </c>
      <c r="B41" s="33" t="n"/>
      <c r="C41" s="34" t="inlineStr">
        <is>
          <t>Payment Received</t>
        </is>
      </c>
      <c r="D41" s="34" t="n"/>
      <c r="E41" s="35" t="n"/>
      <c r="F41" s="35" t="n"/>
      <c r="G41" s="41" t="n">
        <v>3200</v>
      </c>
      <c r="H41" s="39" t="inlineStr">
        <is>
          <t>TJA866WD2O</t>
        </is>
      </c>
      <c r="I41" s="36">
        <f>IF(A41="","",IF(C41="Payment Received",I40-IFERROR(G41,0),IF(C41="Monthly Rent Charge",I40+IFERROR(E41,0)+IFERROR(F41,0),I40)))</f>
        <v/>
      </c>
      <c r="J41" s="37" t="n"/>
    </row>
    <row r="42" ht="15" customHeight="1" s="62">
      <c r="A42" s="54" t="n">
        <v>45962</v>
      </c>
      <c r="B42" s="33" t="inlineStr">
        <is>
          <t>November</t>
        </is>
      </c>
      <c r="C42" s="34">
        <f>IF(B42="","","Monthly Rent Charge")</f>
        <v/>
      </c>
      <c r="D42" s="34" t="n"/>
      <c r="E42" s="35">
        <f>IF(C42="Monthly Rent Charge",$D$3,"")</f>
        <v/>
      </c>
      <c r="F42" s="35">
        <f>IF(C42="Monthly Rent Charge",$F$3,"")</f>
        <v/>
      </c>
      <c r="G42" s="41" t="n"/>
      <c r="H42" s="34" t="n"/>
      <c r="I42" s="36">
        <f>IF(A42="","",IF(C42="Payment Received",I41-IFERROR(G42,0),IF(C42="Monthly Rent Charge",I41+IFERROR(E42,0)+IFERROR(F42,0),I41)))</f>
        <v/>
      </c>
      <c r="J42" s="37" t="n"/>
    </row>
    <row r="43" ht="15" customHeight="1" s="62">
      <c r="A43" s="53" t="n">
        <v>45972</v>
      </c>
      <c r="B43" s="33" t="n"/>
      <c r="C43" s="34" t="inlineStr">
        <is>
          <t>Payment Received</t>
        </is>
      </c>
      <c r="D43" s="34" t="n"/>
      <c r="E43" s="35">
        <f>IF(C43="Monthly Rent Charge",$D$3,"")</f>
        <v/>
      </c>
      <c r="F43" s="35">
        <f>IF(C43="Monthly Rent Charge",$F$3,"")</f>
        <v/>
      </c>
      <c r="G43" s="41" t="n">
        <v>3200</v>
      </c>
      <c r="H43" s="39" t="inlineStr">
        <is>
          <t>TKB869PPT2</t>
        </is>
      </c>
      <c r="I43" s="36">
        <f>IF(A43="","",IF(C43="Payment Received",I42-IFERROR(G43,0),IF(C43="Monthly Rent Charge",I42+IFERROR(E43,0)+IFERROR(F43,0),I42)))</f>
        <v/>
      </c>
      <c r="J43" s="37" t="n"/>
    </row>
    <row r="44" ht="15" customHeight="1" s="62">
      <c r="A44" s="54" t="n">
        <v>45992</v>
      </c>
      <c r="B44" s="33" t="inlineStr">
        <is>
          <t>December</t>
        </is>
      </c>
      <c r="C44" s="34">
        <f>IF(B44="","","Monthly Rent Charge")</f>
        <v/>
      </c>
      <c r="D44" s="34" t="n"/>
      <c r="E44" s="35">
        <f>IF(C44="Monthly Rent Charge",$D$3,"")</f>
        <v/>
      </c>
      <c r="F44" s="35">
        <f>IF(C44="Monthly Rent Charge",$F$3,"")</f>
        <v/>
      </c>
      <c r="G44" s="41" t="n"/>
      <c r="H44" s="34" t="n"/>
      <c r="I44" s="36">
        <f>IF(A44="","",IF(C44="Payment Received",I43-IFERROR(G44,0),IF(C44="Monthly Rent Charge",I43+IFERROR(E44,0)+IFERROR(F44,0),I43)))</f>
        <v/>
      </c>
      <c r="J44" s="37" t="n"/>
    </row>
    <row r="45" ht="15" customHeight="1" s="62">
      <c r="A45" s="53" t="n">
        <v>46001</v>
      </c>
      <c r="B45" s="33" t="n"/>
      <c r="C45" s="34" t="inlineStr">
        <is>
          <t>Payment Received</t>
        </is>
      </c>
      <c r="D45" s="34" t="n"/>
      <c r="E45" s="35">
        <f>IF(C45="Monthly Rent Charge",$D$3,"")</f>
        <v/>
      </c>
      <c r="F45" s="35">
        <f>IF(C45="Monthly Rent Charge",$F$3,"")</f>
        <v/>
      </c>
      <c r="G45" s="41" t="n">
        <v>3200</v>
      </c>
      <c r="H45" s="39" t="inlineStr">
        <is>
          <t>TLA860IG77</t>
        </is>
      </c>
      <c r="I45" s="36">
        <f>IF(A45="","",IF(C45="Payment Received",I44-IFERROR(G45,0),IF(C45="Monthly Rent Charge",I44+IFERROR(E45,0)+IFERROR(F45,0),I44)))</f>
        <v/>
      </c>
      <c r="J45" s="37" t="n"/>
    </row>
    <row r="46" ht="15" customHeight="1" s="62">
      <c r="A46" s="54">
        <f>IF(B46="","",DATE(YEAR(TODAY()),MATCH(B46,{"January","February","March","April","May","June","July","August","September","October","November","December"},0),1))</f>
        <v/>
      </c>
      <c r="B46" s="33" t="inlineStr">
        <is>
          <t>January</t>
        </is>
      </c>
      <c r="C46" s="34">
        <f>IF(B46="","","Monthly Rent Charge")</f>
        <v/>
      </c>
      <c r="D46" s="34" t="n"/>
      <c r="E46" s="35">
        <f>IF(C46="Monthly Rent Charge",$D$3,"")</f>
        <v/>
      </c>
      <c r="F46" s="35">
        <f>IF(C46="Monthly Rent Charge",$F$3,"")</f>
        <v/>
      </c>
      <c r="G46" s="41" t="n"/>
      <c r="H46" s="34" t="n"/>
      <c r="I46" s="36">
        <f>IF(A46="","",IF(C46="Payment Received",I45-IFERROR(G46,0),IF(C46="Monthly Rent Charge",I45+IFERROR(E46,0)+IFERROR(F46,0),I45)))</f>
        <v/>
      </c>
      <c r="J46" s="37" t="n"/>
    </row>
    <row r="47" ht="15" customHeight="1" s="62">
      <c r="A47" s="53" t="n">
        <v>46033</v>
      </c>
      <c r="B47" s="33" t="n"/>
      <c r="C47" s="34" t="inlineStr">
        <is>
          <t>Payment Received</t>
        </is>
      </c>
      <c r="D47" s="34" t="n"/>
      <c r="E47" s="35">
        <f>IF(C47="Monthly Rent Charge",$D$3,"")</f>
        <v/>
      </c>
      <c r="F47" s="35">
        <f>IF(C47="Monthly Rent Charge",$F$3,"")</f>
        <v/>
      </c>
      <c r="G47" s="41" t="n">
        <v>3200</v>
      </c>
      <c r="H47" s="39" t="inlineStr">
        <is>
          <t>UAB863DHXT</t>
        </is>
      </c>
      <c r="I47" s="36">
        <f>IF(A47="","",IF(C47="Payment Received",I46-IFERROR(G47,0),IF(C47="Monthly Rent Charge",I46+IFERROR(E47,0)+IFERROR(F47,0),I46)))</f>
        <v/>
      </c>
      <c r="J47" s="37" t="n"/>
    </row>
    <row r="48" ht="15" customHeight="1" s="62">
      <c r="A48" s="54">
        <f>IF(B48="","",DATE(YEAR(TODAY()),MATCH(B48,{"January","February","March","April","May","June","July","August","September","October","November","December"},0),1))</f>
        <v/>
      </c>
      <c r="B48" s="33" t="inlineStr">
        <is>
          <t>February</t>
        </is>
      </c>
      <c r="C48" s="34">
        <f>IF(B48="","","Monthly Rent Charge")</f>
        <v/>
      </c>
      <c r="D48" s="34" t="n"/>
      <c r="E48" s="35">
        <f>IF(C48="Monthly Rent Charge",$D$3,"")</f>
        <v/>
      </c>
      <c r="F48" s="35">
        <f>IF(C48="Monthly Rent Charge",$F$3,"")</f>
        <v/>
      </c>
      <c r="G48" s="41" t="n"/>
      <c r="H48" s="34" t="n"/>
      <c r="I48" s="36">
        <f>IF(A48="","",IF(C48="Payment Received",I47-IFERROR(G48,0),IF(C48="Monthly Rent Charge",I47+IFERROR(E48,0)+IFERROR(F48,0),I47)))</f>
        <v/>
      </c>
      <c r="J48" s="37" t="n"/>
    </row>
    <row r="49" ht="15" customHeight="1" s="62">
      <c r="A49" s="53" t="n">
        <v>46063</v>
      </c>
      <c r="B49" s="33" t="n"/>
      <c r="C49" s="34" t="inlineStr">
        <is>
          <t>Payment Received</t>
        </is>
      </c>
      <c r="D49" s="34" t="n"/>
      <c r="E49" s="35">
        <f>IF(C49="Monthly Rent Charge",$D$3,"")</f>
        <v/>
      </c>
      <c r="F49" s="35">
        <f>IF(C49="Monthly Rent Charge",$F$3,"")</f>
        <v/>
      </c>
      <c r="G49" s="41" t="n">
        <v>3200</v>
      </c>
      <c r="H49" s="39" t="inlineStr">
        <is>
          <t>UBA8665D1T</t>
        </is>
      </c>
      <c r="I49" s="36">
        <f>IF(A49="","",IF(C49="Payment Received",I48-IFERROR(G49,0),IF(C49="Monthly Rent Charge",I48+IFERROR(E49,0)+IFERROR(F49,0),I48)))</f>
        <v/>
      </c>
      <c r="J49" s="37" t="n"/>
    </row>
    <row r="50" ht="15" customHeight="1" s="62">
      <c r="A50" s="54">
        <f>IF(B50="","",DATE(YEAR(TODAY()),MATCH(B50,{"January","February","March","April","May","June","July","August","September","October","November","December"},0),1))</f>
        <v/>
      </c>
      <c r="B50" s="33" t="inlineStr">
        <is>
          <t>March</t>
        </is>
      </c>
      <c r="C50" s="34">
        <f>IF(B50="","","Monthly Rent Charge")</f>
        <v/>
      </c>
      <c r="D50" s="34" t="n"/>
      <c r="E50" s="35">
        <f>IF(C50="Monthly Rent Charge",$D$3,"")</f>
        <v/>
      </c>
      <c r="F50" s="35">
        <f>IF(C50="Monthly Rent Charge",$F$3,"")</f>
        <v/>
      </c>
      <c r="G50" s="41" t="n"/>
      <c r="H50" s="34" t="n"/>
      <c r="I50" s="36">
        <f>IF(A50="","",IF(C50="Payment Received",I49-IFERROR(G50,0),IF(C50="Monthly Rent Charge",I49+IFERROR(E50,0)+IFERROR(F50,0),I49)))</f>
        <v/>
      </c>
      <c r="J50" s="37" t="n"/>
    </row>
    <row r="51" ht="15" customHeight="1" s="62">
      <c r="A51" s="53" t="n">
        <v>46091</v>
      </c>
      <c r="B51" s="33" t="n"/>
      <c r="C51" s="34" t="inlineStr">
        <is>
          <t>Payment Received</t>
        </is>
      </c>
      <c r="D51" s="34" t="n"/>
      <c r="E51" s="35">
        <f>IF(C51="Monthly Rent Charge",$D$3,"")</f>
        <v/>
      </c>
      <c r="F51" s="35">
        <f>IF(C51="Monthly Rent Charge",$F$3,"")</f>
        <v/>
      </c>
      <c r="G51" s="41" t="n">
        <v>3200</v>
      </c>
      <c r="H51" s="39" t="inlineStr">
        <is>
          <t>UCA868PYRO</t>
        </is>
      </c>
      <c r="I51" s="36">
        <f>IF(A51="","",IF(C51="Payment Received",I50-IFERROR(G51,0),IF(C51="Monthly Rent Charge",I50+IFERROR(E51,0)+IFERROR(F51,0),I50)))</f>
        <v/>
      </c>
      <c r="J51" s="37" t="n"/>
    </row>
    <row r="52" ht="15" customHeight="1" s="62">
      <c r="A52" s="54">
        <f>IF(B52="","",DATE(YEAR(TODAY()),MATCH(B52,{"January","February","March","April","May","June","July","August","September","October","November","December"},0),1))</f>
        <v/>
      </c>
      <c r="B52" s="33" t="inlineStr">
        <is>
          <t>April</t>
        </is>
      </c>
      <c r="C52" s="34">
        <f>IF(B52="","","Monthly Rent Charge")</f>
        <v/>
      </c>
      <c r="D52" s="34" t="n"/>
      <c r="E52" s="35">
        <f>IF(C52="Monthly Rent Charge",$D$3,"")</f>
        <v/>
      </c>
      <c r="F52" s="35">
        <f>IF(C52="Monthly Rent Charge",$F$3,"")</f>
        <v/>
      </c>
      <c r="G52" s="41" t="n"/>
      <c r="H52" s="34" t="n"/>
      <c r="I52" s="36">
        <f>IF(A52="","",IF(C52="Payment Received",I51-IFERROR(G52,0),IF(C52="Monthly Rent Charge",I51+IFERROR(E52,0)+IFERROR(F52,0),I51)))</f>
        <v/>
      </c>
      <c r="J52" s="37" t="n"/>
    </row>
    <row r="53" ht="15" customHeight="1" s="62">
      <c r="A53" s="53" t="n">
        <v>46123</v>
      </c>
      <c r="B53" s="33" t="n"/>
      <c r="C53" s="34" t="inlineStr">
        <is>
          <t>Payment Received</t>
        </is>
      </c>
      <c r="D53" s="34" t="n"/>
      <c r="E53" s="35">
        <f>IF(C53="Monthly Rent Charge",$D$3,"")</f>
        <v/>
      </c>
      <c r="F53" s="35">
        <f>IF(C53="Monthly Rent Charge",$F$3,"")</f>
        <v/>
      </c>
      <c r="G53" s="41" t="n">
        <v>3200</v>
      </c>
      <c r="H53" s="39" t="inlineStr">
        <is>
          <t>UDB8609U2D</t>
        </is>
      </c>
      <c r="I53" s="36">
        <f>IF(A53="","",IF(C53="Payment Received",I52-IFERROR(G53,0),IF(C53="Monthly Rent Charge",I52+IFERROR(E53,0)+IFERROR(F53,0),I52)))</f>
        <v/>
      </c>
      <c r="J53" s="37" t="n"/>
    </row>
    <row r="54" ht="15" customHeight="1" s="62">
      <c r="A54" s="54">
        <f>IF(B54="","",DATE(YEAR(TODAY()),MATCH(B54,{"January","February","March","April","May","June","July","August","September","October","November","December"},0),1))</f>
        <v/>
      </c>
      <c r="B54" s="33" t="inlineStr">
        <is>
          <t>May</t>
        </is>
      </c>
      <c r="C54" s="34">
        <f>IF(B54="","","Monthly Rent Charge")</f>
        <v/>
      </c>
      <c r="D54" s="34" t="n"/>
      <c r="E54" s="35">
        <f>IF(C54="Monthly Rent Charge",$D$3,"")</f>
        <v/>
      </c>
      <c r="F54" s="35">
        <f>IF(C54="Monthly Rent Charge",$F$3,"")</f>
        <v/>
      </c>
      <c r="G54" s="41" t="n"/>
      <c r="H54" s="34" t="n"/>
      <c r="I54" s="36">
        <f>IF(AND(A54="",C54=""),"",IF(C54="Payment Received",I53-IFERROR(G54,0),IF(C54="Monthly Rent Charge",I53+IFERROR(E54,0)+IFERROR(F54,0),I53)))</f>
        <v/>
      </c>
      <c r="J54" s="37" t="n"/>
    </row>
    <row r="55" ht="15" customHeight="1" s="62">
      <c r="A55" s="54" t="n">
        <v>46151</v>
      </c>
      <c r="B55" s="33" t="n"/>
      <c r="C55" s="34" t="inlineStr">
        <is>
          <t>Payment Received</t>
        </is>
      </c>
      <c r="D55" s="34" t="n"/>
      <c r="E55" s="35">
        <f>IF(C55="Monthly Rent Charge",$D$3,"")</f>
        <v/>
      </c>
      <c r="F55" s="35">
        <f>IF(C55="Monthly Rent Charge",$F$3,"")</f>
        <v/>
      </c>
      <c r="G55" s="41" t="n">
        <v>3200</v>
      </c>
      <c r="H55" s="34" t="inlineStr">
        <is>
          <t>UE9863H978</t>
        </is>
      </c>
      <c r="I55" s="36">
        <f>IF(AND(A55="",C55=""),"",IF(C55="Payment Received",I54-IFERROR(G55,0),IF(C55="Monthly Rent Charge",I54+IFERROR(E55,0)+IFERROR(F55,0),I54)))</f>
        <v/>
      </c>
      <c r="J55" s="37" t="n"/>
    </row>
    <row r="56" ht="15" customHeight="1" s="62">
      <c r="A56" s="54">
        <f>IF(B56="","",DATE(YEAR(TODAY()),MATCH(B56,{"January","February","March","April","May","June","July","August","September","October","November","December"},0),1))</f>
        <v/>
      </c>
      <c r="B56" s="33" t="inlineStr">
        <is>
          <t>June</t>
        </is>
      </c>
      <c r="C56" s="34">
        <f>IF(B56="","","Monthly Rent Charge")</f>
        <v/>
      </c>
      <c r="D56" s="34" t="n"/>
      <c r="E56" s="35">
        <f>IF(C56="Monthly Rent Charge",$D$3,"")</f>
        <v/>
      </c>
      <c r="F56" s="35">
        <f>IF(C56="Monthly Rent Charge",$F$3,"")</f>
        <v/>
      </c>
      <c r="G56" s="41" t="n"/>
      <c r="H56" s="34" t="n"/>
      <c r="I56" s="36">
        <f>IF(AND(A56="",C56=""),"",IF(C56="Payment Received",I55-IFERROR(G56,0),IF(C56="Monthly Rent Charge",I55+IFERROR(E56,0)+IFERROR(F56,0),I55)))</f>
        <v/>
      </c>
      <c r="J56" s="37" t="n"/>
    </row>
    <row r="57" ht="15" customHeight="1" s="62">
      <c r="A57" s="54" t="n">
        <v>46186</v>
      </c>
      <c r="B57" s="33" t="n"/>
      <c r="C57" s="34" t="inlineStr">
        <is>
          <t>Payment Received</t>
        </is>
      </c>
      <c r="D57" s="34" t="n"/>
      <c r="E57" s="35">
        <f>IF(C57="Monthly Rent Charge",$D$3,"")</f>
        <v/>
      </c>
      <c r="F57" s="35">
        <f>IF(C57="Monthly Rent Charge",$F$3,"")</f>
        <v/>
      </c>
      <c r="G57" s="41" t="n">
        <v>3200</v>
      </c>
      <c r="H57" s="34" t="inlineStr">
        <is>
          <t>UFD867HYKV</t>
        </is>
      </c>
      <c r="I57" s="36">
        <f>IF(AND(A57="",C57=""),"",IF(C57="Payment Received",I56-IFERROR(G57,0),IF(C57="Monthly Rent Charge",I56+IFERROR(E57,0)+IFERROR(F57,0),I56)))</f>
        <v/>
      </c>
      <c r="J57" s="37" t="n"/>
    </row>
    <row r="58" ht="15" customHeight="1" s="62">
      <c r="A58" s="54">
        <f>IF(B58="","",DATE(YEAR(TODAY()),MATCH(B58,{"January","February","March","April","May","June","July","August","September","October","November","December"},0),1))</f>
        <v/>
      </c>
      <c r="B58" s="33" t="inlineStr">
        <is>
          <t>July</t>
        </is>
      </c>
      <c r="C58" s="34">
        <f>IF(B58="","","Monthly Rent Charge")</f>
        <v/>
      </c>
      <c r="D58" s="34" t="n"/>
      <c r="E58" s="35">
        <f>IF(C58="Monthly Rent Charge",$D$3,"")</f>
        <v/>
      </c>
      <c r="F58" s="35">
        <f>IF(C58="Monthly Rent Charge",$F$3,"")</f>
        <v/>
      </c>
      <c r="G58" s="41" t="n"/>
      <c r="H58" s="34" t="n"/>
      <c r="I58" s="36">
        <f>IF(AND(A58="",C58=""),"",IF(C58="Payment Received",I57-IFERROR(G58,0),IF(C58="Monthly Rent Charge",I57+IFERROR(E58,0)+IFERROR(F58,0),I57)))</f>
        <v/>
      </c>
      <c r="J58" s="37" t="n"/>
    </row>
    <row r="59" ht="15" customHeight="1" s="62">
      <c r="A59" s="54" t="n">
        <v>46215</v>
      </c>
      <c r="B59" s="33" t="n"/>
      <c r="C59" s="34" t="inlineStr">
        <is>
          <t>Payment Received</t>
        </is>
      </c>
      <c r="D59" s="34" t="n"/>
      <c r="E59" s="35">
        <f>IF(C59="Monthly Rent Charge",$D$3,"")</f>
        <v/>
      </c>
      <c r="F59" s="35">
        <f>IF(C59="Monthly Rent Charge",$F$3,"")</f>
        <v/>
      </c>
      <c r="G59" s="41" t="n">
        <v>3200</v>
      </c>
      <c r="H59" s="34" t="inlineStr">
        <is>
          <t>UGCPFAZDD2</t>
        </is>
      </c>
      <c r="I59" s="36">
        <f>IF(AND(A59="",C59=""),"",IF(C59="Payment Received",I58-IFERROR(G59,0),IF(C59="Monthly Rent Charge",I58+IFERROR(E59,0)+IFERROR(F59,0),IFERROR(I58,0))))</f>
        <v/>
      </c>
      <c r="J59" s="37" t="inlineStr">
        <is>
          <t>BENEDETTAH NDELEVA</t>
        </is>
      </c>
    </row>
    <row r="60" ht="15" customHeight="1" s="62">
      <c r="A60" s="54">
        <f>IF(B60="","",DATE(YEAR(TODAY()),MATCH(B60,{"January","February","March","April","May","June","July","August","September","October","November","December"},0),1))</f>
        <v/>
      </c>
      <c r="B60" s="33" t="inlineStr">
        <is>
          <t>August</t>
        </is>
      </c>
      <c r="C60" s="34">
        <f>IF(B60="","","Monthly Rent Charge")</f>
        <v/>
      </c>
      <c r="D60" s="34" t="n"/>
      <c r="E60" s="35">
        <f>IF(C60="Monthly Rent Charge",$D$3,"")</f>
        <v/>
      </c>
      <c r="F60" s="35">
        <f>IF(C60="Monthly Rent Charge",$F$3,"")</f>
        <v/>
      </c>
      <c r="G60" s="41" t="n"/>
      <c r="H60" s="34" t="n"/>
      <c r="I60" s="36">
        <f>IF(AND(A60="",C60=""),"",IF(C60="Payment Received",I59-IFERROR(G60,0),IF(C60="Monthly Rent Charge",I59+IFERROR(E60,0)+IFERROR(F60,0),IFERROR(I59,0))))</f>
        <v/>
      </c>
      <c r="J60" s="37" t="n"/>
    </row>
    <row r="61" ht="15" customHeight="1" s="62">
      <c r="A61" s="54" t="n">
        <v>46246</v>
      </c>
      <c r="B61" s="33" t="n"/>
      <c r="C61" s="34" t="inlineStr">
        <is>
          <t>Payment Received</t>
        </is>
      </c>
      <c r="D61" s="34" t="n"/>
      <c r="E61" s="35">
        <f>IF(C61="Monthly Rent Charge",$D$3,"")</f>
        <v/>
      </c>
      <c r="F61" s="35">
        <f>IF(C61="Monthly Rent Charge",$F$3,"")</f>
        <v/>
      </c>
      <c r="G61" s="41" t="n">
        <v>6400</v>
      </c>
      <c r="H61" s="34" t="inlineStr">
        <is>
          <t>UHC862HCU</t>
        </is>
      </c>
      <c r="I61" s="36">
        <f>IF(AND(A61="",C61=""),"",IF(C61="Payment Received",I60-IFERROR(G61,0),IF(C61="Monthly Rent Charge",I60+IFERROR(E61,0)+IFERROR(F61,0),IFERROR(I60,0))))</f>
        <v/>
      </c>
      <c r="J61" s="37" t="n"/>
    </row>
    <row r="62" ht="15" customHeight="1" s="62">
      <c r="A62" s="54">
        <f>IF(B62="","",DATE(YEAR(TODAY()),MATCH(B62,{"January","February","March","April","May","June","July","August","September","October","November","December"},0),1))</f>
        <v/>
      </c>
      <c r="B62" s="33" t="n"/>
      <c r="C62" s="34">
        <f>IF(B62="","","Monthly Rent Charge")</f>
        <v/>
      </c>
      <c r="D62" s="34" t="n"/>
      <c r="E62" s="35">
        <f>IF(C62="Monthly Rent Charge",$D$3,"")</f>
        <v/>
      </c>
      <c r="F62" s="35">
        <f>IF(C62="Monthly Rent Charge",$F$3,"")</f>
        <v/>
      </c>
      <c r="G62" s="41" t="n"/>
      <c r="H62" s="34" t="n"/>
      <c r="I62" s="36">
        <f>IF(AND(A62="",C62=""),"",IF(C62="Payment Received",I61-IFERROR(G62,0),IF(C62="Monthly Rent Charge",I61+IFERROR(E62,0)+IFERROR(F62,0),IFERROR(I61,0))))</f>
        <v/>
      </c>
      <c r="J62" s="37" t="n"/>
    </row>
    <row r="63" ht="15" customHeight="1" s="62">
      <c r="A63" s="54">
        <f>IF(B63="","",DATE(YEAR(TODAY()),MATCH(B63,{"January","February","March","April","May","June","July","August","September","October","November","December"},0),1))</f>
        <v/>
      </c>
      <c r="B63" s="33" t="n"/>
      <c r="C63" s="34">
        <f>IF(B63="","","Monthly Rent Charge")</f>
        <v/>
      </c>
      <c r="D63" s="34" t="n"/>
      <c r="E63" s="35">
        <f>IF(C63="Monthly Rent Charge",$D$3,"")</f>
        <v/>
      </c>
      <c r="F63" s="35">
        <f>IF(C63="Monthly Rent Charge",$F$3,"")</f>
        <v/>
      </c>
      <c r="G63" s="41" t="n"/>
      <c r="H63" s="34" t="n"/>
      <c r="I63" s="36">
        <f>IF(AND(A63="",C63=""),"",IF(C63="Payment Received",I62-IFERROR(G63,0),IF(C63="Monthly Rent Charge",I62+IFERROR(E63,0)+IFERROR(F63,0),IFERROR(I62,0))))</f>
        <v/>
      </c>
      <c r="J63" s="37" t="n"/>
    </row>
    <row r="64" ht="15" customHeight="1" s="62">
      <c r="A64" s="54">
        <f>IF(B64="","",DATE(YEAR(TODAY()),MATCH(B64,{"January","February","March","April","May","June","July","August","September","October","November","December"},0),1))</f>
        <v/>
      </c>
      <c r="B64" s="33" t="n"/>
      <c r="C64" s="34">
        <f>IF(B64="","","Monthly Rent Charge")</f>
        <v/>
      </c>
      <c r="D64" s="34" t="n"/>
      <c r="E64" s="35">
        <f>IF(C64="Monthly Rent Charge",$D$3,"")</f>
        <v/>
      </c>
      <c r="F64" s="35">
        <f>IF(C64="Monthly Rent Charge",$F$3,"")</f>
        <v/>
      </c>
      <c r="G64" s="41" t="n"/>
      <c r="H64" s="34" t="n"/>
      <c r="I64" s="36">
        <f>IF(AND(A64="",C64=""),"",IF(C64="Payment Received",I63-IFERROR(G64,0),IF(C64="Monthly Rent Charge",I63+IFERROR(E64,0)+IFERROR(F64,0),IFERROR(I63,0))))</f>
        <v/>
      </c>
      <c r="J64" s="37" t="n"/>
    </row>
    <row r="65" ht="15" customHeight="1" s="62">
      <c r="A65" s="54">
        <f>IF(B65="","",DATE(YEAR(TODAY()),MATCH(B65,{"January","February","March","April","May","June","July","August","September","October","November","December"},0),1))</f>
        <v/>
      </c>
      <c r="B65" s="33" t="n"/>
      <c r="C65" s="34">
        <f>IF(B65="","","Monthly Rent Charge")</f>
        <v/>
      </c>
      <c r="D65" s="34" t="n"/>
      <c r="E65" s="35">
        <f>IF(C65="Monthly Rent Charge",$D$3,"")</f>
        <v/>
      </c>
      <c r="F65" s="35">
        <f>IF(C65="Monthly Rent Charge",$F$3,"")</f>
        <v/>
      </c>
      <c r="G65" s="41" t="n"/>
      <c r="H65" s="34" t="n"/>
      <c r="I65" s="36">
        <f>IF(AND(A65="",C65=""),"",IF(C65="Payment Received",I64-IFERROR(G65,0),IF(C65="Monthly Rent Charge",I64+IFERROR(E65,0)+IFERROR(F65,0),IFERROR(I64,0))))</f>
        <v/>
      </c>
      <c r="J65" s="37" t="n"/>
    </row>
    <row r="66" ht="15" customHeight="1" s="62">
      <c r="A66" s="54">
        <f>IF(B66="","",DATE(YEAR(TODAY()),MATCH(B66,{"January","February","March","April","May","June","July","August","September","October","November","December"},0),1))</f>
        <v/>
      </c>
      <c r="B66" s="33" t="n"/>
      <c r="C66" s="34">
        <f>IF(B66="","","Monthly Rent Charge")</f>
        <v/>
      </c>
      <c r="D66" s="34" t="n"/>
      <c r="E66" s="35">
        <f>IF(C66="Monthly Rent Charge",$D$3,"")</f>
        <v/>
      </c>
      <c r="F66" s="35">
        <f>IF(C66="Monthly Rent Charge",$F$3,"")</f>
        <v/>
      </c>
      <c r="G66" s="41" t="n"/>
      <c r="H66" s="34" t="n"/>
      <c r="I66" s="36">
        <f>IF(AND(A66="",C66=""),"",IF(C66="Payment Received",I65-IFERROR(G66,0),IF(C66="Monthly Rent Charge",I65+IFERROR(E66,0)+IFERROR(F66,0),IFERROR(I65,0))))</f>
        <v/>
      </c>
      <c r="J66" s="37" t="n"/>
    </row>
    <row r="67" ht="15" customHeight="1" s="62">
      <c r="A67" s="54">
        <f>IF(B67="","",DATE(YEAR(TODAY()),MATCH(B67,{"January","February","March","April","May","June","July","August","September","October","November","December"},0),1))</f>
        <v/>
      </c>
      <c r="B67" s="33" t="n"/>
      <c r="C67" s="34">
        <f>IF(B67="","","Monthly Rent Charge")</f>
        <v/>
      </c>
      <c r="D67" s="34" t="n"/>
      <c r="E67" s="35">
        <f>IF(C67="Monthly Rent Charge",$D$3,"")</f>
        <v/>
      </c>
      <c r="F67" s="35">
        <f>IF(C67="Monthly Rent Charge",$F$3,"")</f>
        <v/>
      </c>
      <c r="G67" s="41" t="n"/>
      <c r="H67" s="34" t="n"/>
      <c r="I67" s="36">
        <f>IF(AND(A67="",C67=""),"",IF(C67="Payment Received",I66-IFERROR(G67,0),IF(C67="Monthly Rent Charge",I66+IFERROR(E67,0)+IFERROR(F67,0),IFERROR(I66,0))))</f>
        <v/>
      </c>
      <c r="J67" s="37" t="n"/>
    </row>
    <row r="68" ht="15" customHeight="1" s="62">
      <c r="A68" s="54">
        <f>IF(B68="","",DATE(YEAR(TODAY()),MATCH(B68,{"January","February","March","April","May","June","July","August","September","October","November","December"},0),1))</f>
        <v/>
      </c>
      <c r="B68" s="33" t="n"/>
      <c r="C68" s="34">
        <f>IF(B68="","","Monthly Rent Charge")</f>
        <v/>
      </c>
      <c r="D68" s="34" t="n"/>
      <c r="E68" s="35">
        <f>IF(C68="Monthly Rent Charge",$D$3,"")</f>
        <v/>
      </c>
      <c r="F68" s="35">
        <f>IF(C68="Monthly Rent Charge",$F$3,"")</f>
        <v/>
      </c>
      <c r="G68" s="41" t="n"/>
      <c r="H68" s="34" t="n"/>
      <c r="I68" s="36">
        <f>IF(AND(A68="",C68=""),"",IF(C68="Payment Received",I67-IFERROR(G68,0),IF(C68="Monthly Rent Charge",I67+IFERROR(E68,0)+IFERROR(F68,0),IFERROR(I67,0))))</f>
        <v/>
      </c>
      <c r="J68" s="37" t="n"/>
    </row>
    <row r="69" ht="15" customHeight="1" s="62">
      <c r="A69" s="54">
        <f>IF(B69="","",DATE(YEAR(TODAY()),MATCH(B69,{"January","February","March","April","May","June","July","August","September","October","November","December"},0),1))</f>
        <v/>
      </c>
      <c r="B69" s="33" t="n"/>
      <c r="C69" s="34">
        <f>IF(B69="","","Monthly Rent Charge")</f>
        <v/>
      </c>
      <c r="D69" s="34" t="n"/>
      <c r="E69" s="35">
        <f>IF(C69="Monthly Rent Charge",$D$3,"")</f>
        <v/>
      </c>
      <c r="F69" s="35">
        <f>IF(C69="Monthly Rent Charge",$F$3,"")</f>
        <v/>
      </c>
      <c r="G69" s="41" t="n"/>
      <c r="H69" s="34" t="n"/>
      <c r="I69" s="36">
        <f>IF(AND(A69="",C69=""),"",IF(C69="Payment Received",I68-IFERROR(G69,0),IF(C69="Monthly Rent Charge",I68+IFERROR(E69,0)+IFERROR(F69,0),IFERROR(I68,0))))</f>
        <v/>
      </c>
      <c r="J69" s="37" t="n"/>
    </row>
    <row r="70" ht="15" customHeight="1" s="62">
      <c r="A70" s="54">
        <f>IF(B70="","",DATE(YEAR(TODAY()),MATCH(B70,{"January","February","March","April","May","June","July","August","September","October","November","December"},0),1))</f>
        <v/>
      </c>
      <c r="B70" s="33" t="n"/>
      <c r="C70" s="34">
        <f>IF(B70="","","Monthly Rent Charge")</f>
        <v/>
      </c>
      <c r="D70" s="34" t="n"/>
      <c r="E70" s="35">
        <f>IF(C70="Monthly Rent Charge",$D$3,"")</f>
        <v/>
      </c>
      <c r="F70" s="35">
        <f>IF(C70="Monthly Rent Charge",$F$3,"")</f>
        <v/>
      </c>
      <c r="G70" s="41" t="n"/>
      <c r="H70" s="34" t="n"/>
      <c r="I70" s="36">
        <f>IF(AND(A70="",C70=""),"",IF(C70="Payment Received",I69-IFERROR(G70,0),IF(C70="Monthly Rent Charge",I69+IFERROR(E70,0)+IFERROR(F70,0),IFERROR(I69,0))))</f>
        <v/>
      </c>
      <c r="J70" s="37" t="n"/>
    </row>
    <row r="71" ht="15" customHeight="1" s="62">
      <c r="A71" s="54">
        <f>IF(B71="","",DATE(YEAR(TODAY()),MATCH(B71,{"January","February","March","April","May","June","July","August","September","October","November","December"},0),1))</f>
        <v/>
      </c>
      <c r="B71" s="33" t="n"/>
      <c r="C71" s="34">
        <f>IF(B71="","","Monthly Rent Charge")</f>
        <v/>
      </c>
      <c r="D71" s="34" t="n"/>
      <c r="E71" s="35">
        <f>IF(C71="Monthly Rent Charge",$D$3,"")</f>
        <v/>
      </c>
      <c r="F71" s="35">
        <f>IF(C71="Monthly Rent Charge",$F$3,"")</f>
        <v/>
      </c>
      <c r="G71" s="41" t="n"/>
      <c r="H71" s="34" t="n"/>
      <c r="I71" s="36">
        <f>IF(AND(A71="",C71=""),"",IF(C71="Payment Received",I70-IFERROR(G71,0),IF(C71="Monthly Rent Charge",I70+IFERROR(E71,0)+IFERROR(F71,0),IFERROR(I70,0))))</f>
        <v/>
      </c>
      <c r="J71" s="37" t="n"/>
    </row>
    <row r="72" ht="15" customHeight="1" s="62">
      <c r="A72" s="54">
        <f>IF(B72="","",DATE(YEAR(TODAY()),MATCH(B72,{"January","February","March","April","May","June","July","August","September","October","November","December"},0),1))</f>
        <v/>
      </c>
      <c r="B72" s="33" t="n"/>
      <c r="C72" s="34">
        <f>IF(B72="","","Monthly Rent Charge")</f>
        <v/>
      </c>
      <c r="D72" s="34" t="n"/>
      <c r="E72" s="35">
        <f>IF(C72="Monthly Rent Charge",$D$3,"")</f>
        <v/>
      </c>
      <c r="F72" s="35">
        <f>IF(C72="Monthly Rent Charge",$F$3,"")</f>
        <v/>
      </c>
      <c r="G72" s="41" t="n"/>
      <c r="H72" s="34" t="n"/>
      <c r="I72" s="36">
        <f>IF(AND(A72="",C72=""),"",IF(C72="Payment Received",I71-IFERROR(G72,0),IF(C72="Monthly Rent Charge",I71+IFERROR(E72,0)+IFERROR(F72,0),IFERROR(I71,0))))</f>
        <v/>
      </c>
      <c r="J72" s="37" t="n"/>
    </row>
    <row r="73" ht="15" customHeight="1" s="62">
      <c r="A73" s="54">
        <f>IF(B73="","",DATE(YEAR(TODAY()),MATCH(B73,{"January","February","March","April","May","June","July","August","September","October","November","December"},0),1))</f>
        <v/>
      </c>
      <c r="B73" s="33" t="n"/>
      <c r="C73" s="34">
        <f>IF(B73="","","Monthly Rent Charge")</f>
        <v/>
      </c>
      <c r="D73" s="34" t="n"/>
      <c r="E73" s="35">
        <f>IF(C73="Monthly Rent Charge",$D$3,"")</f>
        <v/>
      </c>
      <c r="F73" s="35">
        <f>IF(C73="Monthly Rent Charge",$F$3,"")</f>
        <v/>
      </c>
      <c r="G73" s="41" t="n"/>
      <c r="H73" s="34" t="n"/>
      <c r="I73" s="36">
        <f>IF(AND(A73="",C73=""),"",IF(C73="Payment Received",I72-IFERROR(G73,0),IF(C73="Monthly Rent Charge",I72+IFERROR(E73,0)+IFERROR(F73,0),IFERROR(I72,0))))</f>
        <v/>
      </c>
      <c r="J73" s="37" t="n"/>
    </row>
    <row r="74" ht="15" customHeight="1" s="62">
      <c r="A74" s="54" t="n"/>
      <c r="B74" s="33" t="n"/>
      <c r="C74" s="34" t="n"/>
      <c r="D74" s="34" t="n"/>
      <c r="E74" s="35" t="n"/>
      <c r="F74" s="35" t="n"/>
      <c r="G74" s="41" t="n"/>
      <c r="H74" s="34" t="n"/>
      <c r="I74" s="36" t="n"/>
      <c r="J74" s="37" t="n"/>
    </row>
    <row r="75" ht="15" customHeight="1" s="62">
      <c r="A75" s="54" t="n"/>
      <c r="B75" s="33" t="n"/>
      <c r="C75" s="34" t="n"/>
      <c r="D75" s="34" t="n"/>
      <c r="E75" s="35" t="n"/>
      <c r="F75" s="35" t="n"/>
      <c r="G75" s="41" t="n"/>
      <c r="H75" s="34" t="n"/>
      <c r="I75" s="36" t="n"/>
      <c r="J75" s="37" t="n"/>
    </row>
    <row r="76" ht="15" customHeight="1" s="62">
      <c r="A76" s="54" t="n"/>
      <c r="B76" s="33" t="n"/>
      <c r="C76" s="34" t="n"/>
      <c r="D76" s="34" t="n"/>
      <c r="E76" s="35" t="n"/>
      <c r="F76" s="35" t="n"/>
      <c r="G76" s="41" t="n"/>
      <c r="H76" s="34" t="n"/>
      <c r="I76" s="36" t="n"/>
      <c r="J76" s="37" t="n"/>
    </row>
    <row r="77" ht="15" customHeight="1" s="62">
      <c r="A77" s="54" t="n"/>
      <c r="B77" s="33" t="n"/>
      <c r="C77" s="34" t="n"/>
      <c r="D77" s="34" t="n"/>
      <c r="E77" s="35" t="n"/>
      <c r="F77" s="35" t="n"/>
      <c r="G77" s="41" t="n"/>
      <c r="H77" s="34" t="n"/>
      <c r="I77" s="36" t="n"/>
      <c r="J77" s="37" t="n"/>
    </row>
    <row r="78" ht="15" customHeight="1" s="62">
      <c r="A78" s="54" t="n"/>
      <c r="B78" s="33" t="n"/>
      <c r="C78" s="34" t="n"/>
      <c r="D78" s="34" t="n"/>
      <c r="E78" s="35" t="n"/>
      <c r="F78" s="35" t="n"/>
      <c r="G78" s="41" t="n"/>
      <c r="H78" s="34" t="n"/>
      <c r="I78" s="36" t="n"/>
      <c r="J78" s="37" t="n"/>
    </row>
    <row r="79" ht="15" customHeight="1" s="62">
      <c r="A79" s="54" t="n"/>
      <c r="B79" s="33" t="n"/>
      <c r="C79" s="34" t="n"/>
      <c r="D79" s="34" t="n"/>
      <c r="E79" s="35" t="n"/>
      <c r="F79" s="35" t="n"/>
      <c r="G79" s="41" t="n"/>
      <c r="H79" s="34" t="n"/>
      <c r="I79" s="36" t="n"/>
      <c r="J79" s="37" t="n"/>
    </row>
    <row r="80" ht="15" customHeight="1" s="62">
      <c r="A80" s="54" t="n"/>
      <c r="B80" s="33" t="n"/>
      <c r="C80" s="34" t="n"/>
      <c r="D80" s="34" t="n"/>
      <c r="E80" s="35" t="n"/>
      <c r="F80" s="35" t="n"/>
      <c r="G80" s="41" t="n"/>
      <c r="H80" s="34" t="n"/>
      <c r="I80" s="36" t="n"/>
      <c r="J80" s="37" t="n"/>
    </row>
    <row r="81" ht="15" customHeight="1" s="62">
      <c r="A81" s="54" t="n"/>
      <c r="B81" s="33" t="n"/>
      <c r="C81" s="34" t="n"/>
      <c r="D81" s="34" t="n"/>
      <c r="E81" s="35" t="n"/>
      <c r="F81" s="35" t="n"/>
      <c r="G81" s="41" t="n"/>
      <c r="H81" s="34" t="n"/>
      <c r="I81" s="36" t="n"/>
      <c r="J81" s="37" t="n"/>
    </row>
    <row r="82" ht="15" customHeight="1" s="62">
      <c r="A82" s="54" t="n"/>
      <c r="B82" s="33" t="n"/>
      <c r="C82" s="34" t="n"/>
      <c r="D82" s="34" t="n"/>
      <c r="E82" s="35" t="n"/>
      <c r="F82" s="35" t="n"/>
      <c r="G82" s="41" t="n"/>
      <c r="H82" s="34" t="n"/>
      <c r="I82" s="36" t="n"/>
      <c r="J82" s="37" t="n"/>
    </row>
    <row r="83" ht="15" customHeight="1" s="62">
      <c r="A83" s="54" t="n"/>
      <c r="B83" s="33" t="n"/>
      <c r="C83" s="34" t="n"/>
      <c r="D83" s="34" t="n"/>
      <c r="E83" s="35" t="n"/>
      <c r="F83" s="35" t="n"/>
      <c r="G83" s="41" t="n"/>
      <c r="H83" s="34" t="n"/>
      <c r="I83" s="36" t="n"/>
      <c r="J83" s="37" t="n"/>
    </row>
    <row r="84" ht="15" customHeight="1" s="62">
      <c r="A84" s="54" t="n"/>
      <c r="B84" s="33" t="n"/>
      <c r="C84" s="34" t="n"/>
      <c r="D84" s="34" t="n"/>
      <c r="E84" s="35" t="n"/>
      <c r="F84" s="35" t="n"/>
      <c r="G84" s="41" t="n"/>
      <c r="H84" s="34" t="n"/>
      <c r="I84" s="36" t="n"/>
      <c r="J84" s="37" t="n"/>
    </row>
    <row r="85" ht="15" customHeight="1" s="62">
      <c r="A85" s="54" t="n"/>
      <c r="B85" s="33" t="n"/>
      <c r="C85" s="34" t="n"/>
      <c r="D85" s="34" t="n"/>
      <c r="E85" s="35" t="n"/>
      <c r="F85" s="35" t="n"/>
      <c r="G85" s="41" t="n"/>
      <c r="H85" s="34" t="n"/>
      <c r="I85" s="36" t="n"/>
      <c r="J85" s="37" t="n"/>
    </row>
    <row r="86" ht="15" customHeight="1" s="62">
      <c r="A86" s="54" t="n"/>
      <c r="B86" s="33" t="n"/>
      <c r="C86" s="34" t="n"/>
      <c r="D86" s="34" t="n"/>
      <c r="E86" s="35" t="n"/>
      <c r="F86" s="35" t="n"/>
      <c r="G86" s="41" t="n"/>
      <c r="H86" s="34" t="n"/>
      <c r="I86" s="36" t="n"/>
      <c r="J86" s="37" t="n"/>
    </row>
    <row r="87" ht="15" customHeight="1" s="62">
      <c r="A87" s="54" t="n"/>
      <c r="B87" s="33" t="n"/>
      <c r="C87" s="34" t="n"/>
      <c r="D87" s="34" t="n"/>
      <c r="E87" s="35" t="n"/>
      <c r="F87" s="35" t="n"/>
      <c r="G87" s="41" t="n"/>
      <c r="H87" s="34" t="n"/>
      <c r="I87" s="36" t="n"/>
      <c r="J87" s="37" t="n"/>
    </row>
    <row r="88" ht="15" customHeight="1" s="62">
      <c r="A88" s="54" t="n"/>
      <c r="B88" s="33" t="n"/>
      <c r="C88" s="34" t="n"/>
      <c r="D88" s="34" t="n"/>
      <c r="E88" s="35" t="n"/>
      <c r="F88" s="35" t="n"/>
      <c r="G88" s="41" t="n"/>
      <c r="H88" s="34" t="n"/>
      <c r="I88" s="36" t="n"/>
      <c r="J88" s="37" t="n"/>
    </row>
    <row r="89" ht="15" customHeight="1" s="62">
      <c r="A89" s="54" t="n"/>
      <c r="B89" s="33" t="n"/>
      <c r="C89" s="34" t="n"/>
      <c r="D89" s="34" t="n"/>
      <c r="E89" s="35" t="n"/>
      <c r="F89" s="35" t="n"/>
      <c r="G89" s="41" t="n"/>
      <c r="H89" s="34" t="n"/>
      <c r="I89" s="36" t="n"/>
      <c r="J89" s="37" t="n"/>
    </row>
    <row r="90" ht="15" customHeight="1" s="62">
      <c r="A90" s="54" t="n"/>
      <c r="B90" s="33" t="n"/>
      <c r="C90" s="34" t="n"/>
      <c r="D90" s="34" t="n"/>
      <c r="E90" s="35" t="n"/>
      <c r="F90" s="35" t="n"/>
      <c r="G90" s="41" t="n"/>
      <c r="H90" s="34" t="n"/>
      <c r="I90" s="36" t="n"/>
      <c r="J90" s="37" t="n"/>
    </row>
    <row r="91" ht="15" customHeight="1" s="62">
      <c r="A91" s="54" t="n"/>
      <c r="B91" s="33" t="n"/>
      <c r="C91" s="34" t="n"/>
      <c r="D91" s="34" t="n"/>
      <c r="E91" s="35" t="n"/>
      <c r="F91" s="35" t="n"/>
      <c r="G91" s="41" t="n"/>
      <c r="H91" s="34" t="n"/>
      <c r="I91" s="36" t="n"/>
      <c r="J91" s="37" t="n"/>
    </row>
    <row r="92" ht="15" customHeight="1" s="62">
      <c r="A92" s="54" t="n"/>
      <c r="B92" s="33" t="n"/>
      <c r="C92" s="34" t="n"/>
      <c r="D92" s="34" t="n"/>
      <c r="E92" s="35" t="n"/>
      <c r="F92" s="35" t="n"/>
      <c r="G92" s="41" t="n"/>
      <c r="H92" s="34" t="n"/>
      <c r="I92" s="36" t="n"/>
      <c r="J92" s="37" t="n"/>
    </row>
    <row r="93" ht="15" customHeight="1" s="62">
      <c r="A93" s="54" t="n"/>
      <c r="B93" s="33" t="n"/>
      <c r="C93" s="34" t="n"/>
      <c r="D93" s="34" t="n"/>
      <c r="E93" s="35" t="n"/>
      <c r="F93" s="35" t="n"/>
      <c r="G93" s="41" t="n"/>
      <c r="H93" s="34" t="n"/>
      <c r="I93" s="36" t="n"/>
      <c r="J93" s="37" t="n"/>
    </row>
    <row r="94" ht="15" customHeight="1" s="62">
      <c r="A94" s="54" t="n"/>
      <c r="B94" s="33" t="n"/>
      <c r="C94" s="34" t="n"/>
      <c r="D94" s="34" t="n"/>
      <c r="E94" s="35" t="n"/>
      <c r="F94" s="35" t="n"/>
      <c r="G94" s="41" t="n"/>
      <c r="H94" s="34" t="n"/>
      <c r="I94" s="36" t="n"/>
      <c r="J94" s="37" t="n"/>
    </row>
    <row r="95" ht="15" customHeight="1" s="62">
      <c r="A95" s="54" t="n"/>
      <c r="B95" s="33" t="n"/>
      <c r="C95" s="34" t="n"/>
      <c r="D95" s="34" t="n"/>
      <c r="E95" s="35" t="n"/>
      <c r="F95" s="35" t="n"/>
      <c r="G95" s="41" t="n"/>
      <c r="H95" s="34" t="n"/>
      <c r="I95" s="36" t="n"/>
      <c r="J95" s="37" t="n"/>
    </row>
    <row r="96" ht="15" customHeight="1" s="62">
      <c r="A96" s="54" t="n"/>
      <c r="B96" s="33" t="n"/>
      <c r="C96" s="34" t="n"/>
      <c r="D96" s="34" t="n"/>
      <c r="E96" s="35" t="n"/>
      <c r="F96" s="35" t="n"/>
      <c r="G96" s="41" t="n"/>
      <c r="H96" s="34" t="n"/>
      <c r="I96" s="36" t="n"/>
      <c r="J96" s="37" t="n"/>
    </row>
    <row r="97" ht="15" customHeight="1" s="62">
      <c r="A97" s="54" t="n"/>
      <c r="B97" s="33" t="n"/>
      <c r="C97" s="34" t="n"/>
      <c r="D97" s="34" t="n"/>
      <c r="E97" s="35" t="n"/>
      <c r="F97" s="35" t="n"/>
      <c r="G97" s="41" t="n"/>
      <c r="H97" s="34" t="n"/>
      <c r="I97" s="36" t="n"/>
      <c r="J97" s="37" t="n"/>
    </row>
    <row r="98" ht="15" customHeight="1" s="62">
      <c r="A98" s="54" t="n"/>
      <c r="B98" s="33" t="n"/>
      <c r="C98" s="34" t="n"/>
      <c r="D98" s="34" t="n"/>
      <c r="E98" s="35" t="n"/>
      <c r="F98" s="35" t="n"/>
      <c r="G98" s="41" t="n"/>
      <c r="H98" s="34" t="n"/>
      <c r="I98" s="36" t="n"/>
      <c r="J98" s="37" t="n"/>
    </row>
    <row r="99" ht="15" customHeight="1" s="62">
      <c r="A99" s="54" t="n"/>
      <c r="B99" s="33" t="n"/>
      <c r="C99" s="34" t="n"/>
      <c r="D99" s="34" t="n"/>
      <c r="E99" s="35" t="n"/>
      <c r="F99" s="35" t="n"/>
      <c r="G99" s="41" t="n"/>
      <c r="H99" s="34" t="n"/>
      <c r="I99" s="36" t="n"/>
      <c r="J99" s="37" t="n"/>
    </row>
    <row r="100" ht="15" customHeight="1" s="62">
      <c r="A100" s="54" t="n"/>
      <c r="B100" s="33" t="n"/>
      <c r="C100" s="34" t="n"/>
      <c r="D100" s="34" t="n"/>
      <c r="E100" s="35" t="n"/>
      <c r="F100" s="35" t="n"/>
      <c r="G100" s="41" t="n"/>
      <c r="H100" s="34" t="n"/>
      <c r="I100" s="36" t="n"/>
      <c r="J100" s="37" t="n"/>
    </row>
    <row r="101" ht="15" customHeight="1" s="62">
      <c r="A101" s="54" t="n"/>
      <c r="B101" s="33" t="n"/>
      <c r="C101" s="34" t="n"/>
      <c r="D101" s="34" t="n"/>
      <c r="E101" s="35" t="n"/>
      <c r="F101" s="35" t="n"/>
      <c r="G101" s="41" t="n"/>
      <c r="H101" s="34" t="n"/>
      <c r="I101" s="36" t="n"/>
      <c r="J101" s="37" t="n"/>
    </row>
    <row r="102" ht="15" customHeight="1" s="62">
      <c r="A102" s="54" t="n"/>
      <c r="B102" s="33" t="n"/>
      <c r="C102" s="34" t="n"/>
      <c r="D102" s="34" t="n"/>
      <c r="E102" s="35" t="n"/>
      <c r="F102" s="35" t="n"/>
      <c r="G102" s="41" t="n"/>
      <c r="H102" s="34" t="n"/>
      <c r="I102" s="36" t="n"/>
      <c r="J102" s="37" t="n"/>
    </row>
    <row r="103" ht="15" customHeight="1" s="62">
      <c r="A103" s="54" t="n"/>
      <c r="B103" s="33" t="n"/>
      <c r="C103" s="34" t="n"/>
      <c r="D103" s="34" t="n"/>
      <c r="E103" s="35" t="n"/>
      <c r="F103" s="35" t="n"/>
      <c r="G103" s="41" t="n"/>
      <c r="H103" s="34" t="n"/>
      <c r="I103" s="36" t="n"/>
      <c r="J103" s="37" t="n"/>
    </row>
    <row r="104" ht="15" customHeight="1" s="62">
      <c r="A104" s="54" t="n"/>
      <c r="B104" s="33" t="n"/>
      <c r="C104" s="34" t="n"/>
      <c r="D104" s="34" t="n"/>
      <c r="E104" s="35" t="n"/>
      <c r="F104" s="35" t="n"/>
      <c r="G104" s="41" t="n"/>
      <c r="H104" s="34" t="n"/>
      <c r="I104" s="36" t="n"/>
      <c r="J104" s="37" t="n"/>
    </row>
    <row r="105" ht="15" customHeight="1" s="62">
      <c r="A105" s="54" t="n"/>
      <c r="B105" s="33" t="n"/>
      <c r="C105" s="34" t="n"/>
      <c r="D105" s="34" t="n"/>
      <c r="E105" s="35" t="n"/>
      <c r="F105" s="35" t="n"/>
      <c r="G105" s="41" t="n"/>
      <c r="H105" s="34" t="n"/>
      <c r="I105" s="36" t="n"/>
      <c r="J105" s="37" t="n"/>
    </row>
    <row r="106" ht="15" customHeight="1" s="62">
      <c r="A106" s="54" t="n"/>
      <c r="B106" s="33" t="n"/>
      <c r="C106" s="34" t="n"/>
      <c r="D106" s="34" t="n"/>
      <c r="E106" s="35" t="n"/>
      <c r="F106" s="35" t="n"/>
      <c r="G106" s="41" t="n"/>
      <c r="H106" s="34" t="n"/>
      <c r="I106" s="36" t="n"/>
      <c r="J106" s="37" t="n"/>
    </row>
    <row r="107" ht="15" customHeight="1" s="62">
      <c r="A107" s="54" t="n"/>
      <c r="B107" s="33" t="n"/>
      <c r="C107" s="34" t="n"/>
      <c r="D107" s="34" t="n"/>
      <c r="E107" s="35" t="n"/>
      <c r="F107" s="35" t="n"/>
      <c r="G107" s="41" t="n"/>
      <c r="H107" s="34" t="n"/>
      <c r="I107" s="36" t="n"/>
      <c r="J107" s="37" t="n"/>
    </row>
    <row r="108" ht="15" customHeight="1" s="62">
      <c r="A108" s="54" t="n"/>
      <c r="B108" s="33" t="n"/>
      <c r="C108" s="34" t="n"/>
      <c r="D108" s="34" t="n"/>
      <c r="E108" s="35" t="n"/>
      <c r="F108" s="35" t="n"/>
      <c r="G108" s="41" t="n"/>
      <c r="H108" s="34" t="n"/>
      <c r="I108" s="36" t="n"/>
      <c r="J108" s="37" t="n"/>
    </row>
    <row r="109" ht="15" customHeight="1" s="62">
      <c r="A109" s="54" t="n"/>
      <c r="B109" s="33" t="n"/>
      <c r="C109" s="34" t="n"/>
      <c r="D109" s="34" t="n"/>
      <c r="E109" s="35" t="n"/>
      <c r="F109" s="35" t="n"/>
      <c r="G109" s="41" t="n"/>
      <c r="H109" s="34" t="n"/>
      <c r="I109" s="36" t="n"/>
      <c r="J109" s="37" t="n"/>
    </row>
    <row r="110" ht="15" customHeight="1" s="62">
      <c r="A110" s="54" t="n"/>
      <c r="B110" s="33" t="n"/>
      <c r="C110" s="34" t="n"/>
      <c r="D110" s="34" t="n"/>
      <c r="E110" s="35" t="n"/>
      <c r="F110" s="35" t="n"/>
      <c r="G110" s="41" t="n"/>
      <c r="H110" s="34" t="n"/>
      <c r="I110" s="36" t="n"/>
      <c r="J110" s="37" t="n"/>
    </row>
    <row r="111" ht="15" customHeight="1" s="62">
      <c r="A111" s="54" t="n"/>
      <c r="B111" s="33" t="n"/>
      <c r="C111" s="34" t="n"/>
      <c r="D111" s="34" t="n"/>
      <c r="E111" s="35" t="n"/>
      <c r="F111" s="35" t="n"/>
      <c r="G111" s="41" t="n"/>
      <c r="H111" s="34" t="n"/>
      <c r="I111" s="36" t="n"/>
      <c r="J111" s="37" t="n"/>
    </row>
    <row r="112" ht="15" customHeight="1" s="62">
      <c r="A112" s="54" t="n"/>
      <c r="B112" s="33" t="n"/>
      <c r="C112" s="34" t="n"/>
      <c r="D112" s="34" t="n"/>
      <c r="E112" s="35" t="n"/>
      <c r="F112" s="35" t="n"/>
      <c r="G112" s="41" t="n"/>
      <c r="H112" s="34" t="n"/>
      <c r="I112" s="36" t="n"/>
      <c r="J112" s="37" t="n"/>
    </row>
    <row r="113" ht="15" customHeight="1" s="62">
      <c r="A113" s="54" t="n"/>
      <c r="B113" s="33" t="n"/>
      <c r="C113" s="34" t="n"/>
      <c r="D113" s="34" t="n"/>
      <c r="E113" s="35" t="n"/>
      <c r="F113" s="35" t="n"/>
      <c r="G113" s="41" t="n"/>
      <c r="H113" s="34" t="n"/>
      <c r="I113" s="36" t="n"/>
      <c r="J113" s="37" t="n"/>
    </row>
    <row r="114" ht="15" customHeight="1" s="62">
      <c r="A114" s="54" t="n"/>
      <c r="B114" s="33" t="n"/>
      <c r="C114" s="34" t="n"/>
      <c r="D114" s="34" t="n"/>
      <c r="E114" s="35" t="n"/>
      <c r="F114" s="35" t="n"/>
      <c r="G114" s="41" t="n"/>
      <c r="H114" s="34" t="n"/>
      <c r="I114" s="36" t="n"/>
      <c r="J114" s="37" t="n"/>
    </row>
    <row r="115" ht="15" customHeight="1" s="62">
      <c r="A115" s="54" t="n"/>
      <c r="B115" s="33" t="n"/>
      <c r="C115" s="34" t="n"/>
      <c r="D115" s="34" t="n"/>
      <c r="E115" s="35" t="n"/>
      <c r="F115" s="35" t="n"/>
      <c r="G115" s="41" t="n"/>
      <c r="H115" s="34" t="n"/>
      <c r="I115" s="36" t="n"/>
      <c r="J115" s="37" t="n"/>
    </row>
    <row r="116" ht="15" customHeight="1" s="62">
      <c r="A116" s="54" t="n"/>
      <c r="B116" s="33" t="n"/>
      <c r="C116" s="34" t="n"/>
      <c r="D116" s="34" t="n"/>
      <c r="E116" s="35" t="n"/>
      <c r="F116" s="35" t="n"/>
      <c r="G116" s="41" t="n"/>
      <c r="H116" s="34" t="n"/>
      <c r="I116" s="36" t="n"/>
      <c r="J116" s="37" t="n"/>
    </row>
    <row r="117" ht="15" customHeight="1" s="62">
      <c r="A117" s="54" t="n"/>
      <c r="B117" s="33" t="n"/>
      <c r="C117" s="34" t="n"/>
      <c r="D117" s="34" t="n"/>
      <c r="E117" s="35" t="n"/>
      <c r="F117" s="35" t="n"/>
      <c r="G117" s="41" t="n"/>
      <c r="H117" s="34" t="n"/>
      <c r="I117" s="36" t="n"/>
      <c r="J117" s="37" t="n"/>
    </row>
    <row r="118" ht="15" customHeight="1" s="62">
      <c r="A118" s="54" t="n"/>
      <c r="B118" s="33" t="n"/>
      <c r="C118" s="34" t="n"/>
      <c r="D118" s="34" t="n"/>
      <c r="E118" s="35" t="n"/>
      <c r="F118" s="35" t="n"/>
      <c r="G118" s="41" t="n"/>
      <c r="H118" s="34" t="n"/>
      <c r="I118" s="36" t="n"/>
      <c r="J118" s="37" t="n"/>
    </row>
    <row r="119" ht="15" customHeight="1" s="62">
      <c r="A119" s="54" t="n"/>
      <c r="B119" s="33" t="n"/>
      <c r="C119" s="34" t="n"/>
      <c r="D119" s="34" t="n"/>
      <c r="E119" s="35" t="n"/>
      <c r="F119" s="35" t="n"/>
      <c r="G119" s="41" t="n"/>
      <c r="H119" s="34" t="n"/>
      <c r="I119" s="36" t="n"/>
      <c r="J119" s="37" t="n"/>
    </row>
    <row r="120" ht="15" customHeight="1" s="62">
      <c r="A120" s="54" t="n"/>
      <c r="B120" s="33" t="n"/>
      <c r="C120" s="34" t="n"/>
      <c r="D120" s="34" t="n"/>
      <c r="E120" s="35" t="n"/>
      <c r="F120" s="35" t="n"/>
      <c r="G120" s="41" t="n"/>
      <c r="H120" s="34" t="n"/>
      <c r="I120" s="36" t="n"/>
      <c r="J120" s="37" t="n"/>
    </row>
    <row r="121" ht="15" customHeight="1" s="62">
      <c r="A121" s="54" t="n"/>
      <c r="B121" s="33" t="n"/>
      <c r="C121" s="34" t="n"/>
      <c r="D121" s="34" t="n"/>
      <c r="E121" s="35" t="n"/>
      <c r="F121" s="35" t="n"/>
      <c r="G121" s="41" t="n"/>
      <c r="H121" s="34" t="n"/>
      <c r="I121" s="36" t="n"/>
      <c r="J121" s="37" t="n"/>
    </row>
    <row r="122" ht="15" customHeight="1" s="62">
      <c r="A122" s="54" t="n"/>
      <c r="B122" s="33" t="n"/>
      <c r="C122" s="34" t="n"/>
      <c r="D122" s="34" t="n"/>
      <c r="E122" s="35" t="n"/>
      <c r="F122" s="35" t="n"/>
      <c r="G122" s="41" t="n"/>
      <c r="H122" s="34" t="n"/>
      <c r="I122" s="36" t="n"/>
      <c r="J122" s="37" t="n"/>
    </row>
    <row r="123" ht="15" customHeight="1" s="62">
      <c r="A123" s="54" t="n"/>
      <c r="B123" s="33" t="n"/>
      <c r="C123" s="34" t="n"/>
      <c r="D123" s="34" t="n"/>
      <c r="E123" s="35" t="n"/>
      <c r="F123" s="35" t="n"/>
      <c r="G123" s="41" t="n"/>
      <c r="H123" s="34" t="n"/>
      <c r="I123" s="36" t="n"/>
      <c r="J123" s="37" t="n"/>
    </row>
    <row r="124" ht="15" customHeight="1" s="62">
      <c r="A124" s="54" t="n"/>
      <c r="B124" s="33" t="n"/>
      <c r="C124" s="34" t="n"/>
      <c r="D124" s="34" t="n"/>
      <c r="E124" s="35" t="n"/>
      <c r="F124" s="35" t="n"/>
      <c r="G124" s="41" t="n"/>
      <c r="H124" s="34" t="n"/>
      <c r="I124" s="36" t="n"/>
      <c r="J124" s="37" t="n"/>
    </row>
    <row r="125" ht="15" customHeight="1" s="62">
      <c r="A125" s="54" t="n"/>
      <c r="B125" s="33" t="n"/>
      <c r="C125" s="34" t="n"/>
      <c r="D125" s="34" t="n"/>
      <c r="E125" s="35" t="n"/>
      <c r="F125" s="35" t="n"/>
      <c r="G125" s="41" t="n"/>
      <c r="H125" s="34" t="n"/>
      <c r="I125" s="36" t="n"/>
      <c r="J125" s="37" t="n"/>
    </row>
    <row r="126" ht="15" customHeight="1" s="62">
      <c r="A126" s="54" t="n"/>
      <c r="B126" s="33" t="n"/>
      <c r="C126" s="34" t="n"/>
      <c r="D126" s="34" t="n"/>
      <c r="E126" s="35" t="n"/>
      <c r="F126" s="35" t="n"/>
      <c r="G126" s="41" t="n"/>
      <c r="H126" s="34" t="n"/>
      <c r="I126" s="36" t="n"/>
      <c r="J126" s="37" t="n"/>
    </row>
    <row r="127" ht="15" customHeight="1" s="62">
      <c r="A127" s="54" t="n"/>
      <c r="B127" s="33" t="n"/>
      <c r="C127" s="34" t="n"/>
      <c r="D127" s="34" t="n"/>
      <c r="E127" s="35" t="n"/>
      <c r="F127" s="35" t="n"/>
      <c r="G127" s="41" t="n"/>
      <c r="H127" s="34" t="n"/>
      <c r="I127" s="36" t="n"/>
      <c r="J127" s="37" t="n"/>
    </row>
    <row r="128" ht="15" customHeight="1" s="62">
      <c r="A128" s="54" t="n"/>
      <c r="B128" s="33" t="n"/>
      <c r="C128" s="34" t="n"/>
      <c r="D128" s="34" t="n"/>
      <c r="E128" s="35" t="n"/>
      <c r="F128" s="35" t="n"/>
      <c r="G128" s="41" t="n"/>
      <c r="H128" s="34" t="n"/>
      <c r="I128" s="36" t="n"/>
      <c r="J128" s="37" t="n"/>
    </row>
    <row r="129" ht="15" customHeight="1" s="62">
      <c r="A129" s="54" t="n"/>
      <c r="B129" s="33" t="n"/>
      <c r="C129" s="34" t="n"/>
      <c r="D129" s="34" t="n"/>
      <c r="E129" s="35" t="n"/>
      <c r="F129" s="35" t="n"/>
      <c r="G129" s="41" t="n"/>
      <c r="H129" s="34" t="n"/>
      <c r="I129" s="36" t="n"/>
      <c r="J129" s="37" t="n"/>
    </row>
    <row r="130" ht="15" customHeight="1" s="62">
      <c r="A130" s="54" t="n"/>
      <c r="B130" s="33" t="n"/>
      <c r="C130" s="34" t="n"/>
      <c r="D130" s="34" t="n"/>
      <c r="E130" s="35" t="n"/>
      <c r="F130" s="35" t="n"/>
      <c r="G130" s="41" t="n"/>
      <c r="H130" s="34" t="n"/>
      <c r="I130" s="36" t="n"/>
      <c r="J130" s="37" t="n"/>
    </row>
    <row r="131" ht="15" customHeight="1" s="62">
      <c r="A131" s="54" t="n"/>
      <c r="B131" s="33" t="n"/>
      <c r="C131" s="34" t="n"/>
      <c r="D131" s="34" t="n"/>
      <c r="E131" s="35" t="n"/>
      <c r="F131" s="35" t="n"/>
      <c r="G131" s="41" t="n"/>
      <c r="H131" s="34" t="n"/>
      <c r="I131" s="36" t="n"/>
      <c r="J131" s="37" t="n"/>
    </row>
    <row r="132" ht="15" customHeight="1" s="62">
      <c r="A132" s="54" t="n"/>
      <c r="B132" s="33" t="n"/>
      <c r="C132" s="34" t="n"/>
      <c r="D132" s="34" t="n"/>
      <c r="E132" s="35" t="n"/>
      <c r="F132" s="35" t="n"/>
      <c r="G132" s="41" t="n"/>
      <c r="H132" s="34" t="n"/>
      <c r="I132" s="36" t="n"/>
      <c r="J132" s="37" t="n"/>
    </row>
    <row r="133" ht="15" customHeight="1" s="62">
      <c r="A133" s="54" t="n"/>
      <c r="B133" s="33" t="n"/>
      <c r="C133" s="34" t="n"/>
      <c r="D133" s="34" t="n"/>
      <c r="E133" s="35" t="n"/>
      <c r="F133" s="35" t="n"/>
      <c r="G133" s="41" t="n"/>
      <c r="H133" s="34" t="n"/>
      <c r="I133" s="36" t="n"/>
      <c r="J133" s="37" t="n"/>
    </row>
    <row r="134" ht="15" customHeight="1" s="62">
      <c r="A134" s="54" t="n"/>
      <c r="B134" s="33" t="n"/>
      <c r="C134" s="34" t="n"/>
      <c r="D134" s="34" t="n"/>
      <c r="E134" s="35" t="n"/>
      <c r="F134" s="35" t="n"/>
      <c r="G134" s="41" t="n"/>
      <c r="H134" s="34" t="n"/>
      <c r="I134" s="36" t="n"/>
      <c r="J134" s="37" t="n"/>
    </row>
    <row r="135" ht="15" customHeight="1" s="62">
      <c r="A135" s="54" t="n"/>
      <c r="B135" s="33" t="n"/>
      <c r="C135" s="34" t="n"/>
      <c r="D135" s="34" t="n"/>
      <c r="E135" s="35" t="n"/>
      <c r="F135" s="35" t="n"/>
      <c r="G135" s="41" t="n"/>
      <c r="H135" s="34" t="n"/>
      <c r="I135" s="36" t="n"/>
      <c r="J135" s="37" t="n"/>
    </row>
    <row r="136" ht="15" customHeight="1" s="62">
      <c r="A136" s="54" t="n"/>
      <c r="B136" s="33" t="n"/>
      <c r="C136" s="34" t="n"/>
      <c r="D136" s="34" t="n"/>
      <c r="E136" s="35" t="n"/>
      <c r="F136" s="35" t="n"/>
      <c r="G136" s="41" t="n"/>
      <c r="H136" s="34" t="n"/>
      <c r="I136" s="36" t="n"/>
      <c r="J136" s="37" t="n"/>
    </row>
    <row r="137" ht="15" customHeight="1" s="62">
      <c r="A137" s="54" t="n"/>
      <c r="B137" s="33" t="n"/>
      <c r="C137" s="34" t="n"/>
      <c r="D137" s="34" t="n"/>
      <c r="E137" s="35" t="n"/>
      <c r="F137" s="35" t="n"/>
      <c r="G137" s="41" t="n"/>
      <c r="H137" s="34" t="n"/>
      <c r="I137" s="36" t="n"/>
      <c r="J137" s="37" t="n"/>
    </row>
    <row r="138" ht="15" customHeight="1" s="62">
      <c r="A138" s="54" t="n"/>
      <c r="B138" s="33" t="n"/>
      <c r="C138" s="34" t="n"/>
      <c r="D138" s="34" t="n"/>
      <c r="E138" s="35" t="n"/>
      <c r="F138" s="35" t="n"/>
      <c r="G138" s="41" t="n"/>
      <c r="H138" s="34" t="n"/>
      <c r="I138" s="36" t="n"/>
      <c r="J138" s="37" t="n"/>
    </row>
    <row r="139" ht="15" customHeight="1" s="62">
      <c r="A139" s="54" t="n"/>
      <c r="B139" s="33" t="n"/>
      <c r="C139" s="34" t="n"/>
      <c r="D139" s="34" t="n"/>
      <c r="E139" s="35" t="n"/>
      <c r="F139" s="35" t="n"/>
      <c r="G139" s="41" t="n"/>
      <c r="H139" s="34" t="n"/>
      <c r="I139" s="36" t="n"/>
      <c r="J139" s="37" t="n"/>
    </row>
    <row r="140" ht="15" customHeight="1" s="62">
      <c r="A140" s="54" t="n"/>
      <c r="B140" s="33" t="n"/>
      <c r="C140" s="34" t="n"/>
      <c r="D140" s="34" t="n"/>
      <c r="E140" s="35" t="n"/>
      <c r="F140" s="35" t="n"/>
      <c r="G140" s="41" t="n"/>
      <c r="H140" s="34" t="n"/>
      <c r="I140" s="36" t="n"/>
      <c r="J140" s="37" t="n"/>
    </row>
    <row r="141" ht="15" customHeight="1" s="62">
      <c r="A141" s="54" t="n"/>
      <c r="B141" s="33" t="n"/>
      <c r="C141" s="34" t="n"/>
      <c r="D141" s="34" t="n"/>
      <c r="E141" s="35" t="n"/>
      <c r="F141" s="35" t="n"/>
      <c r="G141" s="41" t="n"/>
      <c r="H141" s="34" t="n"/>
      <c r="I141" s="36" t="n"/>
      <c r="J141" s="37" t="n"/>
    </row>
    <row r="142" ht="15" customHeight="1" s="62">
      <c r="A142" s="54" t="n"/>
      <c r="B142" s="33" t="n"/>
      <c r="C142" s="34" t="n"/>
      <c r="D142" s="34" t="n"/>
      <c r="E142" s="35" t="n"/>
      <c r="F142" s="35" t="n"/>
      <c r="G142" s="41" t="n"/>
      <c r="H142" s="34" t="n"/>
      <c r="I142" s="36" t="n"/>
      <c r="J142" s="37" t="n"/>
    </row>
    <row r="143" ht="15" customHeight="1" s="62">
      <c r="A143" s="54" t="n"/>
      <c r="B143" s="33" t="n"/>
      <c r="C143" s="34" t="n"/>
      <c r="D143" s="34" t="n"/>
      <c r="E143" s="35" t="n"/>
      <c r="F143" s="35" t="n"/>
      <c r="G143" s="41" t="n"/>
      <c r="H143" s="34" t="n"/>
      <c r="I143" s="36" t="n"/>
      <c r="J143" s="37" t="n"/>
    </row>
    <row r="144" ht="15" customHeight="1" s="62">
      <c r="A144" s="54" t="n"/>
      <c r="B144" s="33" t="n"/>
      <c r="C144" s="34" t="n"/>
      <c r="D144" s="34" t="n"/>
      <c r="E144" s="35" t="n"/>
      <c r="F144" s="35" t="n"/>
      <c r="G144" s="41" t="n"/>
      <c r="H144" s="34" t="n"/>
      <c r="I144" s="36" t="n"/>
      <c r="J144" s="37" t="n"/>
    </row>
    <row r="145" ht="15" customHeight="1" s="62">
      <c r="A145" s="54" t="n"/>
      <c r="B145" s="33" t="n"/>
      <c r="C145" s="34" t="n"/>
      <c r="D145" s="34" t="n"/>
      <c r="E145" s="35" t="n"/>
      <c r="F145" s="35" t="n"/>
      <c r="G145" s="41" t="n"/>
      <c r="H145" s="34" t="n"/>
      <c r="I145" s="36" t="n"/>
      <c r="J145" s="37" t="n"/>
    </row>
    <row r="146" ht="15" customHeight="1" s="62">
      <c r="A146" s="54" t="n"/>
      <c r="B146" s="33" t="n"/>
      <c r="C146" s="34" t="n"/>
      <c r="D146" s="34" t="n"/>
      <c r="E146" s="35" t="n"/>
      <c r="F146" s="35" t="n"/>
      <c r="G146" s="41" t="n"/>
      <c r="H146" s="34" t="n"/>
      <c r="I146" s="36" t="n"/>
      <c r="J146" s="37" t="n"/>
    </row>
    <row r="147" ht="15" customHeight="1" s="62">
      <c r="A147" s="54" t="n"/>
      <c r="B147" s="33" t="n"/>
      <c r="C147" s="34" t="n"/>
      <c r="D147" s="34" t="n"/>
      <c r="E147" s="35" t="n"/>
      <c r="F147" s="35" t="n"/>
      <c r="G147" s="41" t="n"/>
      <c r="H147" s="34" t="n"/>
      <c r="I147" s="36" t="n"/>
      <c r="J147" s="37" t="n"/>
    </row>
    <row r="148" ht="15" customHeight="1" s="62">
      <c r="A148" s="54" t="n"/>
      <c r="B148" s="33" t="n"/>
      <c r="C148" s="34" t="n"/>
      <c r="D148" s="34" t="n"/>
      <c r="E148" s="35" t="n"/>
      <c r="F148" s="35" t="n"/>
      <c r="G148" s="41" t="n"/>
      <c r="H148" s="34" t="n"/>
      <c r="I148" s="36" t="n"/>
      <c r="J148" s="37" t="n"/>
    </row>
    <row r="149" ht="15" customHeight="1" s="62">
      <c r="A149" s="54" t="n"/>
      <c r="B149" s="33" t="n"/>
      <c r="C149" s="34" t="n"/>
      <c r="D149" s="34" t="n"/>
      <c r="E149" s="35" t="n"/>
      <c r="F149" s="35" t="n"/>
      <c r="G149" s="41" t="n"/>
      <c r="H149" s="34" t="n"/>
      <c r="I149" s="36" t="n"/>
      <c r="J149" s="37" t="n"/>
    </row>
    <row r="150" ht="15" customHeight="1" s="62">
      <c r="A150" s="54" t="n"/>
      <c r="B150" s="33" t="n"/>
      <c r="C150" s="34" t="n"/>
      <c r="D150" s="34" t="n"/>
      <c r="E150" s="35" t="n"/>
      <c r="F150" s="35" t="n"/>
      <c r="G150" s="41" t="n"/>
      <c r="H150" s="34" t="n"/>
      <c r="I150" s="36" t="n"/>
      <c r="J150" s="37" t="n"/>
    </row>
    <row r="151" ht="15" customHeight="1" s="62">
      <c r="A151" s="54" t="n"/>
      <c r="B151" s="33" t="n"/>
      <c r="C151" s="34" t="n"/>
      <c r="D151" s="34" t="n"/>
      <c r="E151" s="35" t="n"/>
      <c r="F151" s="35" t="n"/>
      <c r="G151" s="41" t="n"/>
      <c r="H151" s="34" t="n"/>
      <c r="I151" s="36" t="n"/>
      <c r="J151" s="37" t="n"/>
    </row>
    <row r="152" ht="15" customHeight="1" s="62">
      <c r="A152" s="54" t="n"/>
      <c r="B152" s="33" t="n"/>
      <c r="C152" s="34" t="n"/>
      <c r="D152" s="34" t="n"/>
      <c r="E152" s="35" t="n"/>
      <c r="F152" s="35" t="n"/>
      <c r="G152" s="41" t="n"/>
      <c r="H152" s="34" t="n"/>
      <c r="I152" s="36" t="n"/>
      <c r="J152" s="37" t="n"/>
    </row>
    <row r="153" ht="15" customHeight="1" s="62">
      <c r="A153" s="54" t="n"/>
      <c r="B153" s="33" t="n"/>
      <c r="C153" s="34" t="n"/>
      <c r="D153" s="34" t="n"/>
      <c r="E153" s="35" t="n"/>
      <c r="F153" s="35" t="n"/>
      <c r="G153" s="41" t="n"/>
      <c r="H153" s="34" t="n"/>
      <c r="I153" s="36" t="n"/>
      <c r="J153" s="37" t="n"/>
    </row>
    <row r="154" ht="15" customHeight="1" s="62">
      <c r="A154" s="54" t="n"/>
      <c r="B154" s="33" t="n"/>
      <c r="C154" s="34" t="n"/>
      <c r="D154" s="34" t="n"/>
      <c r="E154" s="35" t="n"/>
      <c r="F154" s="35" t="n"/>
      <c r="G154" s="41" t="n"/>
      <c r="H154" s="34" t="n"/>
      <c r="I154" s="36" t="n"/>
      <c r="J154" s="37" t="n"/>
    </row>
    <row r="155" ht="15" customHeight="1" s="62">
      <c r="A155" s="54" t="n"/>
      <c r="B155" s="33" t="n"/>
      <c r="C155" s="34" t="n"/>
      <c r="D155" s="34" t="n"/>
      <c r="E155" s="35" t="n"/>
      <c r="F155" s="35" t="n"/>
      <c r="G155" s="41" t="n"/>
      <c r="H155" s="34" t="n"/>
      <c r="I155" s="36" t="n"/>
      <c r="J155" s="37" t="n"/>
    </row>
    <row r="156" ht="15" customHeight="1" s="62">
      <c r="A156" s="54" t="n"/>
      <c r="B156" s="33" t="n"/>
      <c r="C156" s="34" t="n"/>
      <c r="D156" s="34" t="n"/>
      <c r="E156" s="35" t="n"/>
      <c r="F156" s="35" t="n"/>
      <c r="G156" s="41" t="n"/>
      <c r="H156" s="34" t="n"/>
      <c r="I156" s="36" t="n"/>
      <c r="J156" s="37" t="n"/>
    </row>
    <row r="157" ht="15" customHeight="1" s="62">
      <c r="A157" s="54" t="n"/>
      <c r="B157" s="33" t="n"/>
      <c r="C157" s="34" t="n"/>
      <c r="D157" s="34" t="n"/>
      <c r="E157" s="35" t="n"/>
      <c r="F157" s="35" t="n"/>
      <c r="G157" s="41" t="n"/>
      <c r="H157" s="34" t="n"/>
      <c r="I157" s="36" t="n"/>
      <c r="J157" s="37" t="n"/>
    </row>
    <row r="158" ht="15" customHeight="1" s="62">
      <c r="A158" s="54" t="n"/>
      <c r="B158" s="33" t="n"/>
      <c r="C158" s="34" t="n"/>
      <c r="D158" s="34" t="n"/>
      <c r="E158" s="35" t="n"/>
      <c r="F158" s="35" t="n"/>
      <c r="G158" s="41" t="n"/>
      <c r="H158" s="34" t="n"/>
      <c r="I158" s="36" t="n"/>
      <c r="J158" s="37" t="n"/>
    </row>
    <row r="159" ht="15" customHeight="1" s="62">
      <c r="A159" s="54" t="n"/>
      <c r="B159" s="33" t="n"/>
      <c r="C159" s="34" t="n"/>
      <c r="D159" s="34" t="n"/>
      <c r="E159" s="35" t="n"/>
      <c r="F159" s="35" t="n"/>
      <c r="G159" s="41" t="n"/>
      <c r="H159" s="34" t="n"/>
      <c r="I159" s="36" t="n"/>
      <c r="J159" s="37" t="n"/>
    </row>
    <row r="160" ht="15" customHeight="1" s="62">
      <c r="A160" s="54" t="n"/>
      <c r="B160" s="33" t="n"/>
      <c r="C160" s="34" t="n"/>
      <c r="D160" s="34" t="n"/>
      <c r="E160" s="35" t="n"/>
      <c r="F160" s="35" t="n"/>
      <c r="G160" s="41" t="n"/>
      <c r="H160" s="34" t="n"/>
      <c r="I160" s="36" t="n"/>
      <c r="J160" s="37" t="n"/>
    </row>
    <row r="161" ht="15" customHeight="1" s="62">
      <c r="A161" s="54" t="n"/>
      <c r="B161" s="33" t="n"/>
      <c r="C161" s="34" t="n"/>
      <c r="D161" s="34" t="n"/>
      <c r="E161" s="35" t="n"/>
      <c r="F161" s="35" t="n"/>
      <c r="G161" s="41" t="n"/>
      <c r="H161" s="34" t="n"/>
      <c r="I161" s="36" t="n"/>
      <c r="J161" s="37" t="n"/>
    </row>
    <row r="162" ht="15" customHeight="1" s="62">
      <c r="A162" s="54" t="n"/>
      <c r="B162" s="33" t="n"/>
      <c r="C162" s="34" t="n"/>
      <c r="D162" s="34" t="n"/>
      <c r="E162" s="35" t="n"/>
      <c r="F162" s="35" t="n"/>
      <c r="G162" s="41" t="n"/>
      <c r="H162" s="34" t="n"/>
      <c r="I162" s="36" t="n"/>
      <c r="J162" s="37" t="n"/>
    </row>
    <row r="163" ht="15" customHeight="1" s="62">
      <c r="A163" s="54" t="n"/>
      <c r="B163" s="33" t="n"/>
      <c r="C163" s="34" t="n"/>
      <c r="D163" s="34" t="n"/>
      <c r="E163" s="35" t="n"/>
      <c r="F163" s="35" t="n"/>
      <c r="G163" s="41" t="n"/>
      <c r="H163" s="34" t="n"/>
      <c r="I163" s="36" t="n"/>
      <c r="J163" s="37" t="n"/>
    </row>
    <row r="164" ht="15" customHeight="1" s="62">
      <c r="A164" s="54" t="n"/>
      <c r="B164" s="33" t="n"/>
      <c r="C164" s="34" t="n"/>
      <c r="D164" s="34" t="n"/>
      <c r="E164" s="35" t="n"/>
      <c r="F164" s="35" t="n"/>
      <c r="G164" s="41" t="n"/>
      <c r="H164" s="34" t="n"/>
      <c r="I164" s="36" t="n"/>
      <c r="J164" s="37" t="n"/>
    </row>
    <row r="165" ht="15" customHeight="1" s="62">
      <c r="A165" s="54" t="n"/>
      <c r="B165" s="33" t="n"/>
      <c r="C165" s="34" t="n"/>
      <c r="D165" s="34" t="n"/>
      <c r="E165" s="35" t="n"/>
      <c r="F165" s="35" t="n"/>
      <c r="G165" s="41" t="n"/>
      <c r="H165" s="34" t="n"/>
      <c r="I165" s="36" t="n"/>
      <c r="J165" s="37" t="n"/>
    </row>
    <row r="166" ht="15" customHeight="1" s="62">
      <c r="A166" s="54" t="n"/>
      <c r="B166" s="33" t="n"/>
      <c r="C166" s="34" t="n"/>
      <c r="D166" s="34" t="n"/>
      <c r="E166" s="35" t="n"/>
      <c r="F166" s="35" t="n"/>
      <c r="G166" s="41" t="n"/>
      <c r="H166" s="34" t="n"/>
      <c r="I166" s="36" t="n"/>
      <c r="J166" s="37" t="n"/>
    </row>
    <row r="167" ht="15" customHeight="1" s="62">
      <c r="A167" s="54" t="n"/>
      <c r="B167" s="33" t="n"/>
      <c r="C167" s="34" t="n"/>
      <c r="D167" s="34" t="n"/>
      <c r="E167" s="35" t="n"/>
      <c r="F167" s="35" t="n"/>
      <c r="G167" s="41" t="n"/>
      <c r="H167" s="34" t="n"/>
      <c r="I167" s="36" t="n"/>
      <c r="J167" s="37" t="n"/>
    </row>
    <row r="168" ht="15" customHeight="1" s="62">
      <c r="A168" s="54" t="n"/>
      <c r="B168" s="33" t="n"/>
      <c r="C168" s="34" t="n"/>
      <c r="D168" s="34" t="n"/>
      <c r="E168" s="35" t="n"/>
      <c r="F168" s="35" t="n"/>
      <c r="G168" s="41" t="n"/>
      <c r="H168" s="34" t="n"/>
      <c r="I168" s="36" t="n"/>
      <c r="J168" s="37" t="n"/>
    </row>
    <row r="169" ht="15" customHeight="1" s="62">
      <c r="A169" s="54" t="n"/>
      <c r="B169" s="33" t="n"/>
      <c r="C169" s="34" t="n"/>
      <c r="D169" s="34" t="n"/>
      <c r="E169" s="35" t="n"/>
      <c r="F169" s="35" t="n"/>
      <c r="G169" s="41" t="n"/>
      <c r="H169" s="34" t="n"/>
      <c r="I169" s="36" t="n"/>
      <c r="J169" s="37" t="n"/>
    </row>
    <row r="170" ht="15" customHeight="1" s="62">
      <c r="A170" s="54" t="n"/>
      <c r="B170" s="33" t="n"/>
      <c r="C170" s="34" t="n"/>
      <c r="D170" s="34" t="n"/>
      <c r="E170" s="35" t="n"/>
      <c r="F170" s="35" t="n"/>
      <c r="G170" s="41" t="n"/>
      <c r="H170" s="34" t="n"/>
      <c r="I170" s="36" t="n"/>
      <c r="J170" s="37" t="n"/>
    </row>
    <row r="171" ht="15" customHeight="1" s="62">
      <c r="A171" s="54" t="n"/>
      <c r="B171" s="33" t="n"/>
      <c r="C171" s="34" t="n"/>
      <c r="D171" s="34" t="n"/>
      <c r="E171" s="35" t="n"/>
      <c r="F171" s="35" t="n"/>
      <c r="G171" s="41" t="n"/>
      <c r="H171" s="34" t="n"/>
      <c r="I171" s="36" t="n"/>
      <c r="J171" s="37" t="n"/>
    </row>
    <row r="172" ht="15" customHeight="1" s="62">
      <c r="A172" s="54" t="n"/>
      <c r="B172" s="33" t="n"/>
      <c r="C172" s="34" t="n"/>
      <c r="D172" s="34" t="n"/>
      <c r="E172" s="35" t="n"/>
      <c r="F172" s="35" t="n"/>
      <c r="G172" s="41" t="n"/>
      <c r="H172" s="34" t="n"/>
      <c r="I172" s="36" t="n"/>
      <c r="J172" s="37" t="n"/>
    </row>
    <row r="173" ht="15" customHeight="1" s="62">
      <c r="A173" s="54" t="n"/>
      <c r="B173" s="33" t="n"/>
      <c r="C173" s="34" t="n"/>
      <c r="D173" s="34" t="n"/>
      <c r="E173" s="35" t="n"/>
      <c r="F173" s="35" t="n"/>
      <c r="G173" s="41" t="n"/>
      <c r="H173" s="34" t="n"/>
      <c r="I173" s="36" t="n"/>
      <c r="J173" s="37" t="n"/>
    </row>
    <row r="174" ht="15" customHeight="1" s="62">
      <c r="A174" s="54" t="n"/>
      <c r="B174" s="33" t="n"/>
      <c r="C174" s="34" t="n"/>
      <c r="D174" s="34" t="n"/>
      <c r="E174" s="35" t="n"/>
      <c r="F174" s="35" t="n"/>
      <c r="G174" s="41" t="n"/>
      <c r="H174" s="34" t="n"/>
      <c r="I174" s="36" t="n"/>
      <c r="J174" s="37" t="n"/>
    </row>
    <row r="175" ht="15" customHeight="1" s="62">
      <c r="A175" s="54" t="n"/>
      <c r="B175" s="33" t="n"/>
      <c r="C175" s="34" t="n"/>
      <c r="D175" s="34" t="n"/>
      <c r="E175" s="35" t="n"/>
      <c r="F175" s="35" t="n"/>
      <c r="G175" s="41" t="n"/>
      <c r="H175" s="34" t="n"/>
      <c r="I175" s="36" t="n"/>
      <c r="J175" s="37" t="n"/>
    </row>
    <row r="176" ht="15" customHeight="1" s="62">
      <c r="A176" s="54" t="n"/>
      <c r="B176" s="33" t="n"/>
      <c r="C176" s="34" t="n"/>
      <c r="D176" s="34" t="n"/>
      <c r="E176" s="35" t="n"/>
      <c r="F176" s="35" t="n"/>
      <c r="G176" s="41" t="n"/>
      <c r="H176" s="34" t="n"/>
      <c r="I176" s="36" t="n"/>
      <c r="J176" s="37" t="n"/>
    </row>
    <row r="177" ht="15" customHeight="1" s="62">
      <c r="A177" s="54" t="n"/>
      <c r="B177" s="33" t="n"/>
      <c r="C177" s="34" t="n"/>
      <c r="D177" s="34" t="n"/>
      <c r="E177" s="35" t="n"/>
      <c r="F177" s="35" t="n"/>
      <c r="G177" s="41" t="n"/>
      <c r="H177" s="34" t="n"/>
      <c r="I177" s="36" t="n"/>
      <c r="J177" s="37" t="n"/>
    </row>
    <row r="178" ht="15" customHeight="1" s="62">
      <c r="A178" s="54" t="n"/>
      <c r="B178" s="33" t="n"/>
      <c r="C178" s="34" t="n"/>
      <c r="D178" s="34" t="n"/>
      <c r="E178" s="35" t="n"/>
      <c r="F178" s="35" t="n"/>
      <c r="G178" s="41" t="n"/>
      <c r="H178" s="34" t="n"/>
      <c r="I178" s="36" t="n"/>
      <c r="J178" s="37" t="n"/>
    </row>
    <row r="179" ht="15" customHeight="1" s="62">
      <c r="A179" s="54" t="n"/>
      <c r="B179" s="33" t="n"/>
      <c r="C179" s="34" t="n"/>
      <c r="D179" s="34" t="n"/>
      <c r="E179" s="35" t="n"/>
      <c r="F179" s="35" t="n"/>
      <c r="G179" s="41" t="n"/>
      <c r="H179" s="34" t="n"/>
      <c r="I179" s="36" t="n"/>
      <c r="J179" s="37" t="n"/>
    </row>
    <row r="180" ht="15" customHeight="1" s="62">
      <c r="A180" s="54" t="n"/>
      <c r="B180" s="33" t="n"/>
      <c r="C180" s="34" t="n"/>
      <c r="D180" s="34" t="n"/>
      <c r="E180" s="35" t="n"/>
      <c r="F180" s="35" t="n"/>
      <c r="G180" s="41" t="n"/>
      <c r="H180" s="34" t="n"/>
      <c r="I180" s="36" t="n"/>
      <c r="J180" s="37" t="n"/>
    </row>
    <row r="181" ht="15" customHeight="1" s="62">
      <c r="A181" s="54" t="n"/>
      <c r="B181" s="33" t="n"/>
      <c r="C181" s="34" t="n"/>
      <c r="D181" s="34" t="n"/>
      <c r="E181" s="35" t="n"/>
      <c r="F181" s="35" t="n"/>
      <c r="G181" s="41" t="n"/>
      <c r="H181" s="34" t="n"/>
      <c r="I181" s="36" t="n"/>
      <c r="J181" s="37" t="n"/>
    </row>
    <row r="182" ht="15" customHeight="1" s="62">
      <c r="A182" s="54" t="n"/>
      <c r="B182" s="33" t="n"/>
      <c r="C182" s="34" t="n"/>
      <c r="D182" s="34" t="n"/>
      <c r="E182" s="35" t="n"/>
      <c r="F182" s="35" t="n"/>
      <c r="G182" s="41" t="n"/>
      <c r="H182" s="34" t="n"/>
      <c r="I182" s="36" t="n"/>
      <c r="J182" s="37" t="n"/>
    </row>
    <row r="183" ht="15" customHeight="1" s="62">
      <c r="A183" s="54" t="n"/>
      <c r="B183" s="33" t="n"/>
      <c r="C183" s="34" t="n"/>
      <c r="D183" s="34" t="n"/>
      <c r="E183" s="35" t="n"/>
      <c r="F183" s="35" t="n"/>
      <c r="G183" s="41" t="n"/>
      <c r="H183" s="34" t="n"/>
      <c r="I183" s="36" t="n"/>
      <c r="J183" s="37" t="n"/>
    </row>
    <row r="184" ht="15" customHeight="1" s="62">
      <c r="A184" s="54" t="n"/>
      <c r="B184" s="33" t="n"/>
      <c r="C184" s="34" t="n"/>
      <c r="D184" s="34" t="n"/>
      <c r="E184" s="35" t="n"/>
      <c r="F184" s="35" t="n"/>
      <c r="G184" s="41" t="n"/>
      <c r="H184" s="34" t="n"/>
      <c r="I184" s="36" t="n"/>
      <c r="J184" s="37" t="n"/>
    </row>
    <row r="185" ht="15" customHeight="1" s="62">
      <c r="A185" s="54" t="n"/>
      <c r="B185" s="33" t="n"/>
      <c r="C185" s="34" t="n"/>
      <c r="D185" s="34" t="n"/>
      <c r="E185" s="35" t="n"/>
      <c r="F185" s="35" t="n"/>
      <c r="G185" s="41" t="n"/>
      <c r="H185" s="34" t="n"/>
      <c r="I185" s="36" t="n"/>
      <c r="J185" s="37" t="n"/>
    </row>
    <row r="186" ht="15" customHeight="1" s="62">
      <c r="A186" s="54" t="n"/>
      <c r="B186" s="33" t="n"/>
      <c r="C186" s="34" t="n"/>
      <c r="D186" s="34" t="n"/>
      <c r="E186" s="35" t="n"/>
      <c r="F186" s="35" t="n"/>
      <c r="G186" s="41" t="n"/>
      <c r="H186" s="34" t="n"/>
      <c r="I186" s="36" t="n"/>
      <c r="J186" s="37" t="n"/>
    </row>
    <row r="187" ht="15" customHeight="1" s="62">
      <c r="A187" s="54" t="n"/>
      <c r="B187" s="33" t="n"/>
      <c r="C187" s="34" t="n"/>
      <c r="D187" s="34" t="n"/>
      <c r="E187" s="35" t="n"/>
      <c r="F187" s="35" t="n"/>
      <c r="G187" s="41" t="n"/>
      <c r="H187" s="34" t="n"/>
      <c r="I187" s="36" t="n"/>
      <c r="J187" s="37" t="n"/>
    </row>
    <row r="188" ht="15" customHeight="1" s="62">
      <c r="A188" s="54" t="n"/>
      <c r="B188" s="33" t="n"/>
      <c r="C188" s="34" t="n"/>
      <c r="D188" s="34" t="n"/>
      <c r="E188" s="35" t="n"/>
      <c r="F188" s="35" t="n"/>
      <c r="G188" s="41" t="n"/>
      <c r="H188" s="34" t="n"/>
      <c r="I188" s="36" t="n"/>
      <c r="J188" s="37" t="n"/>
    </row>
    <row r="189" ht="15" customHeight="1" s="62">
      <c r="A189" s="54" t="n"/>
      <c r="B189" s="33" t="n"/>
      <c r="C189" s="34" t="n"/>
      <c r="D189" s="34" t="n"/>
      <c r="E189" s="35" t="n"/>
      <c r="F189" s="35" t="n"/>
      <c r="G189" s="41" t="n"/>
      <c r="H189" s="34" t="n"/>
      <c r="I189" s="36" t="n"/>
      <c r="J189" s="37" t="n"/>
    </row>
    <row r="190" ht="15" customHeight="1" s="62">
      <c r="A190" s="54" t="n"/>
      <c r="B190" s="33" t="n"/>
      <c r="C190" s="34" t="n"/>
      <c r="D190" s="34" t="n"/>
      <c r="E190" s="35" t="n"/>
      <c r="F190" s="35" t="n"/>
      <c r="G190" s="41" t="n"/>
      <c r="H190" s="34" t="n"/>
      <c r="I190" s="36" t="n"/>
      <c r="J190" s="37" t="n"/>
    </row>
    <row r="191" ht="15" customHeight="1" s="62">
      <c r="A191" s="54" t="n"/>
      <c r="B191" s="33" t="n"/>
      <c r="C191" s="34" t="n"/>
      <c r="D191" s="34" t="n"/>
      <c r="E191" s="35" t="n"/>
      <c r="F191" s="35" t="n"/>
      <c r="G191" s="41" t="n"/>
      <c r="H191" s="34" t="n"/>
      <c r="I191" s="36" t="n"/>
      <c r="J191" s="37" t="n"/>
    </row>
    <row r="192" ht="15" customHeight="1" s="62">
      <c r="A192" s="54" t="n"/>
      <c r="B192" s="33" t="n"/>
      <c r="C192" s="34" t="n"/>
      <c r="D192" s="34" t="n"/>
      <c r="E192" s="35" t="n"/>
      <c r="F192" s="35" t="n"/>
      <c r="G192" s="41" t="n"/>
      <c r="H192" s="34" t="n"/>
      <c r="I192" s="36" t="n"/>
      <c r="J192" s="37" t="n"/>
    </row>
    <row r="193" ht="15" customHeight="1" s="62">
      <c r="A193" s="54" t="n"/>
      <c r="B193" s="33" t="n"/>
      <c r="C193" s="34" t="n"/>
      <c r="D193" s="34" t="n"/>
      <c r="E193" s="35" t="n"/>
      <c r="F193" s="35" t="n"/>
      <c r="G193" s="41" t="n"/>
      <c r="H193" s="34" t="n"/>
      <c r="I193" s="36" t="n"/>
      <c r="J193" s="37" t="n"/>
    </row>
    <row r="194" ht="15" customHeight="1" s="62">
      <c r="A194" s="54" t="n"/>
      <c r="B194" s="33" t="n"/>
      <c r="C194" s="34" t="n"/>
      <c r="D194" s="34" t="n"/>
      <c r="E194" s="35" t="n"/>
      <c r="F194" s="35" t="n"/>
      <c r="G194" s="41" t="n"/>
      <c r="H194" s="34" t="n"/>
      <c r="I194" s="36" t="n"/>
      <c r="J194" s="37" t="n"/>
    </row>
    <row r="195" ht="15" customHeight="1" s="62">
      <c r="A195" s="54" t="n"/>
      <c r="B195" s="33" t="n"/>
      <c r="C195" s="34" t="n"/>
      <c r="D195" s="34" t="n"/>
      <c r="E195" s="35" t="n"/>
      <c r="F195" s="35" t="n"/>
      <c r="G195" s="41" t="n"/>
      <c r="H195" s="34" t="n"/>
      <c r="I195" s="36" t="n"/>
      <c r="J195" s="37" t="n"/>
    </row>
    <row r="196" ht="15" customHeight="1" s="62">
      <c r="A196" s="54" t="n"/>
      <c r="B196" s="33" t="n"/>
      <c r="C196" s="34" t="n"/>
      <c r="D196" s="34" t="n"/>
      <c r="E196" s="35" t="n"/>
      <c r="F196" s="35" t="n"/>
      <c r="G196" s="41" t="n"/>
      <c r="H196" s="34" t="n"/>
      <c r="I196" s="36" t="n"/>
      <c r="J196" s="37" t="n"/>
    </row>
    <row r="197" ht="15" customHeight="1" s="62">
      <c r="A197" s="54" t="n"/>
      <c r="B197" s="33" t="n"/>
      <c r="C197" s="34" t="n"/>
      <c r="D197" s="34" t="n"/>
      <c r="E197" s="35" t="n"/>
      <c r="F197" s="35" t="n"/>
      <c r="G197" s="41" t="n"/>
      <c r="H197" s="34" t="n"/>
      <c r="I197" s="36" t="n"/>
      <c r="J197" s="37" t="n"/>
    </row>
    <row r="198" ht="15" customHeight="1" s="62">
      <c r="A198" s="54" t="n"/>
      <c r="B198" s="33" t="n"/>
      <c r="C198" s="34" t="n"/>
      <c r="D198" s="34" t="n"/>
      <c r="E198" s="35" t="n"/>
      <c r="F198" s="35" t="n"/>
      <c r="G198" s="41" t="n"/>
      <c r="H198" s="34" t="n"/>
      <c r="I198" s="36" t="n"/>
      <c r="J198" s="37" t="n"/>
    </row>
    <row r="199" ht="15" customHeight="1" s="62">
      <c r="A199" s="54" t="n"/>
      <c r="B199" s="33" t="n"/>
      <c r="C199" s="34" t="n"/>
      <c r="D199" s="34" t="n"/>
      <c r="E199" s="35" t="n"/>
      <c r="F199" s="35" t="n"/>
      <c r="G199" s="41" t="n"/>
      <c r="H199" s="34" t="n"/>
      <c r="I199" s="36" t="n"/>
      <c r="J199" s="37" t="n"/>
    </row>
    <row r="200" ht="15" customHeight="1" s="62">
      <c r="A200" s="54" t="n"/>
      <c r="B200" s="33" t="n"/>
      <c r="C200" s="34" t="n"/>
      <c r="D200" s="34" t="n"/>
      <c r="E200" s="35" t="n"/>
      <c r="F200" s="35" t="n"/>
      <c r="G200" s="41" t="n"/>
      <c r="H200" s="34" t="n"/>
      <c r="I200" s="36" t="n"/>
      <c r="J200" s="37" t="n"/>
    </row>
    <row r="201" ht="15" customHeight="1" s="62">
      <c r="A201" s="54" t="n"/>
      <c r="B201" s="33" t="n"/>
      <c r="C201" s="34" t="n"/>
      <c r="D201" s="34" t="n"/>
      <c r="E201" s="35" t="n"/>
      <c r="F201" s="35" t="n"/>
      <c r="G201" s="41" t="n"/>
      <c r="H201" s="34" t="n"/>
      <c r="I201" s="36" t="n"/>
      <c r="J201" s="37" t="n"/>
    </row>
    <row r="202" ht="15" customHeight="1" s="62">
      <c r="A202" s="54" t="n"/>
      <c r="B202" s="33" t="n"/>
      <c r="C202" s="34" t="n"/>
      <c r="D202" s="34" t="n"/>
      <c r="E202" s="35" t="n"/>
      <c r="F202" s="35" t="n"/>
      <c r="G202" s="41" t="n"/>
      <c r="H202" s="34" t="n"/>
      <c r="I202" s="36" t="n"/>
      <c r="J202" s="37" t="n"/>
    </row>
    <row r="203" ht="15" customHeight="1" s="62">
      <c r="A203" s="54" t="n"/>
      <c r="B203" s="33" t="n"/>
      <c r="C203" s="34" t="n"/>
      <c r="D203" s="34" t="n"/>
      <c r="E203" s="35" t="n"/>
      <c r="F203" s="35" t="n"/>
      <c r="G203" s="41" t="n"/>
      <c r="H203" s="34" t="n"/>
      <c r="I203" s="36" t="n"/>
      <c r="J203" s="37" t="n"/>
    </row>
    <row r="204" ht="15" customHeight="1" s="62">
      <c r="A204" s="54" t="n"/>
      <c r="B204" s="33" t="n"/>
      <c r="C204" s="34" t="n"/>
      <c r="D204" s="34" t="n"/>
      <c r="E204" s="35" t="n"/>
      <c r="F204" s="35" t="n"/>
      <c r="G204" s="41" t="n"/>
      <c r="H204" s="34" t="n"/>
      <c r="I204" s="36" t="n"/>
      <c r="J204" s="37" t="n"/>
    </row>
    <row r="205" ht="15" customHeight="1" s="62">
      <c r="A205" s="54" t="n"/>
      <c r="B205" s="33" t="n"/>
      <c r="C205" s="34" t="n"/>
      <c r="D205" s="34" t="n"/>
      <c r="E205" s="35" t="n"/>
      <c r="F205" s="35" t="n"/>
      <c r="G205" s="41" t="n"/>
      <c r="H205" s="34" t="n"/>
      <c r="I205" s="36" t="n"/>
      <c r="J205" s="37" t="n"/>
    </row>
    <row r="206" ht="15" customHeight="1" s="62">
      <c r="A206" s="54" t="n"/>
      <c r="B206" s="33" t="n"/>
      <c r="C206" s="34" t="n"/>
      <c r="D206" s="34" t="n"/>
      <c r="E206" s="35" t="n"/>
      <c r="F206" s="35" t="n"/>
      <c r="G206" s="41" t="n"/>
      <c r="H206" s="34" t="n"/>
      <c r="I206" s="36" t="n"/>
      <c r="J206" s="37" t="n"/>
    </row>
    <row r="207" ht="15" customHeight="1" s="62">
      <c r="A207" s="54" t="n"/>
      <c r="B207" s="33" t="n"/>
      <c r="C207" s="34" t="n"/>
      <c r="D207" s="34" t="n"/>
      <c r="E207" s="35" t="n"/>
      <c r="F207" s="35" t="n"/>
      <c r="G207" s="41" t="n"/>
      <c r="H207" s="34" t="n"/>
      <c r="I207" s="36" t="n"/>
      <c r="J207" s="37" t="n"/>
    </row>
    <row r="208" ht="15" customHeight="1" s="62">
      <c r="A208" s="54" t="n"/>
      <c r="B208" s="33" t="n"/>
      <c r="C208" s="34" t="n"/>
      <c r="D208" s="34" t="n"/>
      <c r="E208" s="35" t="n"/>
      <c r="F208" s="35" t="n"/>
      <c r="G208" s="41" t="n"/>
      <c r="H208" s="34" t="n"/>
      <c r="I208" s="36" t="n"/>
      <c r="J208" s="37" t="n"/>
    </row>
    <row r="209" ht="15" customHeight="1" s="62">
      <c r="A209" s="54" t="n"/>
      <c r="B209" s="33" t="n"/>
      <c r="C209" s="34" t="n"/>
      <c r="D209" s="34" t="n"/>
      <c r="E209" s="35" t="n"/>
      <c r="F209" s="35" t="n"/>
      <c r="G209" s="41" t="n"/>
      <c r="H209" s="34" t="n"/>
      <c r="I209" s="36" t="n"/>
      <c r="J209" s="37" t="n"/>
    </row>
    <row r="210" ht="15" customHeight="1" s="62">
      <c r="A210" s="54" t="n"/>
      <c r="B210" s="33" t="n"/>
      <c r="C210" s="34" t="n"/>
      <c r="D210" s="34" t="n"/>
      <c r="E210" s="35" t="n"/>
      <c r="F210" s="35" t="n"/>
      <c r="G210" s="41" t="n"/>
      <c r="H210" s="34" t="n"/>
      <c r="I210" s="36" t="n"/>
      <c r="J210" s="37" t="n"/>
    </row>
    <row r="211" ht="15" customHeight="1" s="62">
      <c r="A211" s="54" t="n"/>
      <c r="B211" s="33" t="n"/>
      <c r="C211" s="34" t="n"/>
      <c r="D211" s="34" t="n"/>
      <c r="E211" s="35" t="n"/>
      <c r="F211" s="35" t="n"/>
      <c r="G211" s="41" t="n"/>
      <c r="H211" s="34" t="n"/>
      <c r="I211" s="36" t="n"/>
      <c r="J211" s="37" t="n"/>
    </row>
    <row r="212" ht="15" customHeight="1" s="62">
      <c r="A212" s="54" t="n"/>
      <c r="B212" s="33" t="n"/>
      <c r="C212" s="34" t="n"/>
      <c r="D212" s="34" t="n"/>
      <c r="E212" s="35" t="n"/>
      <c r="F212" s="35" t="n"/>
      <c r="G212" s="41" t="n"/>
      <c r="H212" s="34" t="n"/>
      <c r="I212" s="36" t="n"/>
      <c r="J212" s="37" t="n"/>
    </row>
    <row r="213" ht="15" customHeight="1" s="62">
      <c r="A213" s="54" t="n"/>
      <c r="B213" s="33" t="n"/>
      <c r="C213" s="34" t="n"/>
      <c r="D213" s="34" t="n"/>
      <c r="E213" s="35" t="n"/>
      <c r="F213" s="35" t="n"/>
      <c r="G213" s="41" t="n"/>
      <c r="H213" s="34" t="n"/>
      <c r="I213" s="36" t="n"/>
      <c r="J213" s="37" t="n"/>
    </row>
    <row r="214" ht="15" customHeight="1" s="62">
      <c r="A214" s="54" t="n"/>
      <c r="B214" s="33" t="n"/>
      <c r="C214" s="34" t="n"/>
      <c r="D214" s="34" t="n"/>
      <c r="E214" s="35" t="n"/>
      <c r="F214" s="35" t="n"/>
      <c r="G214" s="41" t="n"/>
      <c r="H214" s="34" t="n"/>
      <c r="I214" s="36" t="n"/>
      <c r="J214" s="37" t="n"/>
    </row>
    <row r="215" ht="15" customHeight="1" s="62">
      <c r="A215" s="54" t="n"/>
      <c r="B215" s="33" t="n"/>
      <c r="C215" s="34" t="n"/>
      <c r="D215" s="34" t="n"/>
      <c r="E215" s="35" t="n"/>
      <c r="F215" s="35" t="n"/>
      <c r="G215" s="41" t="n"/>
      <c r="H215" s="34" t="n"/>
      <c r="I215" s="36" t="n"/>
      <c r="J215" s="37" t="n"/>
    </row>
    <row r="216" ht="15" customHeight="1" s="62">
      <c r="A216" s="54" t="n"/>
      <c r="B216" s="33" t="n"/>
      <c r="C216" s="34" t="n"/>
      <c r="D216" s="34" t="n"/>
      <c r="E216" s="35" t="n"/>
      <c r="F216" s="35" t="n"/>
      <c r="G216" s="41" t="n"/>
      <c r="H216" s="34" t="n"/>
      <c r="I216" s="36" t="n"/>
      <c r="J216" s="37" t="n"/>
    </row>
    <row r="217" ht="15" customHeight="1" s="62">
      <c r="A217" s="54" t="n"/>
      <c r="B217" s="33" t="n"/>
      <c r="C217" s="34" t="n"/>
      <c r="D217" s="34" t="n"/>
      <c r="E217" s="35" t="n"/>
      <c r="F217" s="35" t="n"/>
      <c r="G217" s="41" t="n"/>
      <c r="H217" s="34" t="n"/>
      <c r="I217" s="36" t="n"/>
      <c r="J217" s="37" t="n"/>
    </row>
  </sheetData>
  <mergeCells count="3">
    <mergeCell ref="A1:J1"/>
    <mergeCell ref="A4:J4"/>
    <mergeCell ref="A2:J2"/>
  </mergeCells>
  <conditionalFormatting sqref="A6:H100">
    <cfRule type="expression" priority="9" dxfId="1">
      <formula>$C6="Monthly Rent Charge"</formula>
    </cfRule>
    <cfRule type="expression" priority="11" dxfId="0">
      <formula>$C6="Payment Received"</formula>
    </cfRule>
  </conditionalFormatting>
  <conditionalFormatting sqref="H3">
    <cfRule type="cellIs" priority="16" operator="lessThan" dxfId="3">
      <formula>0</formula>
    </cfRule>
    <cfRule type="cellIs" priority="17" operator="equal" dxfId="3">
      <formula>0</formula>
    </cfRule>
    <cfRule type="cellIs" priority="18" operator="greaterThan" dxfId="2">
      <formula>0</formula>
    </cfRule>
  </conditionalFormatting>
  <conditionalFormatting sqref="I6:I100">
    <cfRule type="cellIs" priority="13" operator="lessThan" dxfId="3">
      <formula>0</formula>
    </cfRule>
    <cfRule type="cellIs" priority="14" operator="equal" dxfId="3">
      <formula>0</formula>
    </cfRule>
    <cfRule type="cellIs" priority="15" operator="greaterThan" dxfId="2">
      <formula>0</formula>
    </cfRule>
  </conditionalFormatting>
  <conditionalFormatting sqref="J6:J100">
    <cfRule type="expression" priority="10" dxfId="1">
      <formula>$C6="Monthly Rent Charge"</formula>
    </cfRule>
    <cfRule type="expression" priority="12" dxfId="0">
      <formula>$C6="Payment Received"</formula>
    </cfRule>
  </conditionalFormatting>
  <dataValidations count="3">
    <dataValidation sqref="B6:B73" showDropDown="0" showInputMessage="0" showErrorMessage="0" allowBlank="1" type="list">
      <formula1>"January,February,March,April,May,June,July,August,September,October,November,December"</formula1>
      <formula2>0</formula2>
    </dataValidation>
    <dataValidation sqref="C6:C73" showDropDown="0" showInputMessage="0" showErrorMessage="0" allowBlank="1" type="list">
      <formula1>"Monthly Rent Charge,Payment Received"</formula1>
      <formula2>0</formula2>
    </dataValidation>
    <dataValidation sqref="A6:A217" showDropDown="0" showInputMessage="1" showErrorMessage="1" allowBlank="1" errorTitle="Invalid date" error="Please enter a valid date." promptTitle="Select a date" prompt="Use the date picker or enter a valid payment date here." type="date">
      <formula1>DATE(2000,1,1)</formula1>
      <formula2>DATE(2100,12,31)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zoomScale="115" zoomScaleNormal="115" workbookViewId="0">
      <selection activeCell="G20" sqref="G20"/>
    </sheetView>
  </sheetViews>
  <sheetFormatPr baseColWidth="8" defaultColWidth="8.6640625" defaultRowHeight="14.4"/>
  <cols>
    <col width="14" customWidth="1" style="62" min="1" max="1"/>
    <col width="24" customWidth="1" style="62" min="3" max="3"/>
    <col width="14" customWidth="1" style="62" min="4" max="4"/>
    <col width="15" customWidth="1" style="62" min="5" max="5"/>
    <col width="17" customWidth="1" style="62" min="6" max="6"/>
    <col width="18" customWidth="1" style="62" min="7" max="7"/>
    <col width="22" customWidth="1" style="62" min="8" max="8"/>
    <col width="17" customWidth="1" style="62" min="9" max="9"/>
    <col width="30" customWidth="1" style="62" min="10" max="10"/>
    <col width="12" customWidth="1" style="62" min="11" max="11"/>
    <col width="10" customWidth="1" style="62" min="12" max="12"/>
  </cols>
  <sheetData>
    <row r="1" ht="19.5" customHeight="1" s="62">
      <c r="A1" s="74" t="inlineStr">
        <is>
          <t>Unit A5 — Tenant Statement / Ledger</t>
        </is>
      </c>
    </row>
    <row r="2" ht="27.75" customHeight="1" s="62">
      <c r="A2" s="76" t="inlineStr">
        <is>
          <t>Select a month to create a Monthly Rent Charge: the date fills as the first day of that month (current year) and description fills automatically. For a payment, leave Month blank and choose Payment Received.</t>
        </is>
      </c>
    </row>
    <row r="3" ht="15" customHeight="1" s="62">
      <c r="A3" s="25" t="inlineStr">
        <is>
          <t>Unit</t>
        </is>
      </c>
      <c r="B3" s="25" t="inlineStr">
        <is>
          <t>A5</t>
        </is>
      </c>
      <c r="C3" s="25" t="inlineStr">
        <is>
          <t>Current Rent</t>
        </is>
      </c>
      <c r="D3" s="26" t="n">
        <v>3000</v>
      </c>
      <c r="E3" s="26" t="inlineStr">
        <is>
          <t>Garbage</t>
        </is>
      </c>
      <c r="F3" s="26" t="n">
        <v>200</v>
      </c>
      <c r="G3" s="25" t="inlineStr">
        <is>
          <t>Current Balance</t>
        </is>
      </c>
      <c r="H3" s="27">
        <f>IFERROR(LOOKUP(9.99E+307,I6:I31),0)</f>
        <v/>
      </c>
      <c r="I3" s="25" t="inlineStr">
        <is>
          <t>Tenant</t>
        </is>
      </c>
      <c r="J3" s="28" t="inlineStr">
        <is>
          <t>Joseph Musyoka</t>
        </is>
      </c>
      <c r="K3" s="29" t="inlineStr">
        <is>
          <t>Deposit Held</t>
        </is>
      </c>
      <c r="L3" s="30" t="n">
        <v>0</v>
      </c>
    </row>
    <row r="4">
      <c r="A4" s="75" t="inlineStr">
        <is>
          <t>Current tenant only. When vacating → copy rows to Archive sheet, then clear this ledger.</t>
        </is>
      </c>
    </row>
    <row r="5" ht="15" customHeight="1" s="62">
      <c r="A5" s="31" t="inlineStr">
        <is>
          <t>Date</t>
        </is>
      </c>
      <c r="B5" s="31" t="inlineStr">
        <is>
          <t>Month</t>
        </is>
      </c>
      <c r="C5" s="31" t="inlineStr">
        <is>
          <t>Description</t>
        </is>
      </c>
      <c r="D5" s="31" t="inlineStr">
        <is>
          <t>Tenant</t>
        </is>
      </c>
      <c r="E5" s="31" t="inlineStr">
        <is>
          <t>Rent Charged</t>
        </is>
      </c>
      <c r="F5" s="31" t="inlineStr">
        <is>
          <t>Garbage Charged</t>
        </is>
      </c>
      <c r="G5" s="31" t="inlineStr">
        <is>
          <t>Payment Received</t>
        </is>
      </c>
      <c r="H5" s="31" t="inlineStr">
        <is>
          <t>M-Pesa Reference</t>
        </is>
      </c>
      <c r="I5" s="31" t="inlineStr">
        <is>
          <t>Running Balance</t>
        </is>
      </c>
      <c r="J5" s="31" t="inlineStr">
        <is>
          <t>Remarks</t>
        </is>
      </c>
    </row>
    <row r="6" ht="15" customHeight="1" s="62">
      <c r="A6" s="54">
        <f>IF(B6="","",DATE(YEAR(TODAY()),MATCH(B6,{"January","February","March","April","May","June","July","August","September","October","November","December"},0),1))</f>
        <v/>
      </c>
      <c r="B6" s="33" t="inlineStr">
        <is>
          <t>February</t>
        </is>
      </c>
      <c r="C6" s="34">
        <f>IF(B6="","","Monthly Rent Charge")</f>
        <v/>
      </c>
      <c r="D6" s="34" t="n"/>
      <c r="E6" s="35">
        <f>IF(C6="Monthly Rent Charge",$D$3,"")</f>
        <v/>
      </c>
      <c r="F6" s="35">
        <f>IF(C6="Monthly Rent Charge",$F$3,"")</f>
        <v/>
      </c>
      <c r="G6" s="41" t="n"/>
      <c r="H6" s="34" t="n"/>
      <c r="I6" s="36">
        <f>IF(A6="","",IF(C6="Payment Received",-IFERROR(G6,0),IF(C6="Monthly Rent Charge",IFERROR(E6,0)+IFERROR(F6,0),0)))</f>
        <v/>
      </c>
      <c r="J6" s="37" t="n"/>
    </row>
    <row r="7" ht="15" customHeight="1" s="62">
      <c r="A7" s="53" t="n">
        <v>46066</v>
      </c>
      <c r="B7" s="33" t="n"/>
      <c r="C7" s="34" t="inlineStr">
        <is>
          <t>Payment Received</t>
        </is>
      </c>
      <c r="D7" s="34" t="n"/>
      <c r="E7" s="35">
        <f>IF(C7="Monthly Rent Charge",$D$3,"")</f>
        <v/>
      </c>
      <c r="F7" s="35">
        <f>IF(C7="Monthly Rent Charge",$F$3,"")</f>
        <v/>
      </c>
      <c r="G7" s="41" t="n">
        <v>3200</v>
      </c>
      <c r="H7" s="42" t="inlineStr">
        <is>
          <t>ubddq6egva</t>
        </is>
      </c>
      <c r="I7" s="36">
        <f>IF(A7="","",IF(C7="Payment Received",I6-IFERROR(G7,0),IF(C7="Monthly Rent Charge",I6+IFERROR(E7,0)+IFERROR(F7,0),I6)))</f>
        <v/>
      </c>
      <c r="J7" s="37" t="n"/>
    </row>
    <row r="8" ht="15" customHeight="1" s="62">
      <c r="A8" s="54">
        <f>IF(B8="","",DATE(YEAR(TODAY()),MATCH(B8,{"January","February","March","April","May","June","July","August","September","October","November","December"},0),1))</f>
        <v/>
      </c>
      <c r="B8" s="33" t="inlineStr">
        <is>
          <t>March</t>
        </is>
      </c>
      <c r="C8" s="34">
        <f>IF(B8="","","Monthly Rent Charge")</f>
        <v/>
      </c>
      <c r="D8" s="34" t="n"/>
      <c r="E8" s="35">
        <f>IF(C8="Monthly Rent Charge",$D$3,"")</f>
        <v/>
      </c>
      <c r="F8" s="35">
        <f>IF(C8="Monthly Rent Charge",$F$3,"")</f>
        <v/>
      </c>
      <c r="G8" s="41" t="n"/>
      <c r="H8" s="34" t="n"/>
      <c r="I8" s="36">
        <f>IF(A8="","",IF(C8="Payment Received",I7-IFERROR(G8,0),IF(C8="Monthly Rent Charge",I7+IFERROR(E8,0)+IFERROR(F8,0),I7)))</f>
        <v/>
      </c>
      <c r="J8" s="37" t="n"/>
    </row>
    <row r="9" ht="15" customHeight="1" s="62">
      <c r="A9" s="53" t="n">
        <v>46091</v>
      </c>
      <c r="B9" s="33" t="n"/>
      <c r="C9" s="34" t="inlineStr">
        <is>
          <t>Payment Received</t>
        </is>
      </c>
      <c r="D9" s="34" t="n"/>
      <c r="E9" s="35">
        <f>IF(C9="Monthly Rent Charge",$D$3,"")</f>
        <v/>
      </c>
      <c r="F9" s="35">
        <f>IF(C9="Monthly Rent Charge",$F$3,"")</f>
        <v/>
      </c>
      <c r="G9" s="41" t="n">
        <v>3200</v>
      </c>
      <c r="H9" s="39" t="inlineStr">
        <is>
          <t>UCADQ8RPFP</t>
        </is>
      </c>
      <c r="I9" s="36">
        <f>IF(A9="","",IF(C9="Payment Received",I8-IFERROR(G9,0),IF(C9="Monthly Rent Charge",I8+IFERROR(E9,0)+IFERROR(F9,0),I8)))</f>
        <v/>
      </c>
      <c r="J9" s="37" t="n"/>
    </row>
    <row r="10" ht="15" customHeight="1" s="62">
      <c r="A10" s="54">
        <f>IF(B10="","",DATE(YEAR(TODAY()),MATCH(B10,{"January","February","March","April","May","June","July","August","September","October","November","December"},0),1))</f>
        <v/>
      </c>
      <c r="B10" s="33" t="inlineStr">
        <is>
          <t>April</t>
        </is>
      </c>
      <c r="C10" s="34">
        <f>IF(B10="","","Monthly Rent Charge")</f>
        <v/>
      </c>
      <c r="D10" s="34" t="n"/>
      <c r="E10" s="35">
        <f>IF(C10="Monthly Rent Charge",$D$3,"")</f>
        <v/>
      </c>
      <c r="F10" s="35">
        <f>IF(C10="Monthly Rent Charge",$F$3,"")</f>
        <v/>
      </c>
      <c r="G10" s="41" t="n"/>
      <c r="H10" s="34" t="n"/>
      <c r="I10" s="36">
        <f>IF(A10="","",IF(C10="Payment Received",I9-IFERROR(G10,0),IF(C10="Monthly Rent Charge",I9+IFERROR(E10,0)+IFERROR(F10,0),I9)))</f>
        <v/>
      </c>
      <c r="J10" s="37" t="n"/>
    </row>
    <row r="11" ht="15" customHeight="1" s="62">
      <c r="A11" s="53" t="n">
        <v>46123</v>
      </c>
      <c r="B11" s="33" t="n"/>
      <c r="C11" s="34" t="inlineStr">
        <is>
          <t>Payment Received</t>
        </is>
      </c>
      <c r="D11" s="34" t="n"/>
      <c r="E11" s="35">
        <f>IF(C11="Monthly Rent Charge",$D$3,"")</f>
        <v/>
      </c>
      <c r="F11" s="35">
        <f>IF(C11="Monthly Rent Charge",$F$3,"")</f>
        <v/>
      </c>
      <c r="G11" s="41" t="n">
        <v>3200</v>
      </c>
      <c r="H11" s="39" t="inlineStr">
        <is>
          <t>UDBDQOANDR</t>
        </is>
      </c>
      <c r="I11" s="36">
        <f>IF(A11="","",IF(C11="Payment Received",I10-IFERROR(G11,0),IF(C11="Monthly Rent Charge",I10+IFERROR(E11,0)+IFERROR(F11,0),I10)))</f>
        <v/>
      </c>
      <c r="J11" s="37" t="n"/>
    </row>
    <row r="12" ht="15" customHeight="1" s="62">
      <c r="A12" s="54">
        <f>IF(B12="","",DATE(YEAR(TODAY()),MATCH(B12,{"January","February","March","April","May","June","July","August","September","October","November","December"},0),1))</f>
        <v/>
      </c>
      <c r="B12" s="33" t="inlineStr">
        <is>
          <t>May</t>
        </is>
      </c>
      <c r="C12" s="34">
        <f>IF(B12="","","Monthly Rent Charge")</f>
        <v/>
      </c>
      <c r="D12" s="34" t="n"/>
      <c r="E12" s="35">
        <f>IF(C12="Monthly Rent Charge",$D$3,"")</f>
        <v/>
      </c>
      <c r="F12" s="35">
        <f>IF(C12="Monthly Rent Charge",$F$3,"")</f>
        <v/>
      </c>
      <c r="G12" s="41" t="n"/>
      <c r="H12" s="34" t="n"/>
      <c r="I12" s="36">
        <f>IF(AND(A12="",C12=""),"",IF(C12="Payment Received",I11-IFERROR(G12,0),IF(C12="Monthly Rent Charge",I11+IFERROR(E12,0)+IFERROR(F12,0),I11)))</f>
        <v/>
      </c>
      <c r="J12" s="37" t="n"/>
    </row>
    <row r="13" ht="15" customHeight="1" s="62">
      <c r="A13" s="54" t="n">
        <v>46153</v>
      </c>
      <c r="B13" s="33" t="n"/>
      <c r="C13" s="34" t="inlineStr">
        <is>
          <t>Payment Received</t>
        </is>
      </c>
      <c r="D13" s="34" t="n"/>
      <c r="E13" s="35">
        <f>IF(C13="Monthly Rent Charge",$D$3,"")</f>
        <v/>
      </c>
      <c r="F13" s="35">
        <f>IF(C13="Monthly Rent Charge",$F$3,"")</f>
        <v/>
      </c>
      <c r="G13" s="41" t="n">
        <v>3200</v>
      </c>
      <c r="H13" s="34" t="inlineStr">
        <is>
          <t>UEBDQ3OJVX</t>
        </is>
      </c>
      <c r="I13" s="36">
        <f>IF(AND(A13="",C13=""),"",IF(C13="Payment Received",I12-IFERROR(G13,0),IF(C13="Monthly Rent Charge",I12+IFERROR(E13,0)+IFERROR(F13,0),I12)))</f>
        <v/>
      </c>
      <c r="J13" s="37" t="n"/>
    </row>
    <row r="14" ht="15" customHeight="1" s="62">
      <c r="A14" s="54">
        <f>IF(B14="","",DATE(YEAR(TODAY()),MATCH(B14,{"January","February","March","April","May","June","July","August","September","October","November","December"},0),1))</f>
        <v/>
      </c>
      <c r="B14" s="33" t="inlineStr">
        <is>
          <t>June</t>
        </is>
      </c>
      <c r="C14" s="34">
        <f>IF(B14="","","Monthly Rent Charge")</f>
        <v/>
      </c>
      <c r="D14" s="34" t="n"/>
      <c r="E14" s="35">
        <f>IF(C14="Monthly Rent Charge",$D$3,"")</f>
        <v/>
      </c>
      <c r="F14" s="35">
        <f>IF(C14="Monthly Rent Charge",$F$3,"")</f>
        <v/>
      </c>
      <c r="G14" s="41" t="n"/>
      <c r="H14" s="34" t="n"/>
      <c r="I14" s="36">
        <f>IF(AND(A14="",C14=""),"",IF(C14="Payment Received",I13-IFERROR(G14,0),IF(C14="Monthly Rent Charge",I13+IFERROR(E14,0)+IFERROR(F14,0),I13)))</f>
        <v/>
      </c>
      <c r="J14" s="37" t="n"/>
    </row>
    <row r="15" ht="15" customHeight="1" s="62">
      <c r="A15" s="54" t="n">
        <v>46185</v>
      </c>
      <c r="B15" s="33" t="n"/>
      <c r="C15" s="34" t="inlineStr">
        <is>
          <t>Payment Received</t>
        </is>
      </c>
      <c r="D15" s="34" t="n"/>
      <c r="E15" s="35">
        <f>IF(C15="Monthly Rent Charge",$D$3,"")</f>
        <v/>
      </c>
      <c r="F15" s="35">
        <f>IF(C15="Monthly Rent Charge",$F$3,"")</f>
        <v/>
      </c>
      <c r="G15" s="41" t="n">
        <v>3200</v>
      </c>
      <c r="H15" s="34" t="inlineStr">
        <is>
          <t>UFCDQ79PMC</t>
        </is>
      </c>
      <c r="I15" s="36">
        <f>IF(AND(A15="",C15=""),"",IF(C15="Payment Received",I14-IFERROR(G15,0),IF(C15="Monthly Rent Charge",I14+IFERROR(E15,0)+IFERROR(F15,0),I14)))</f>
        <v/>
      </c>
      <c r="J15" s="37" t="n"/>
    </row>
    <row r="16" ht="15" customHeight="1" s="62">
      <c r="A16" s="54">
        <f>IF(B16="","",DATE(YEAR(TODAY()),MATCH(B16,{"January","February","March","April","May","June","July","August","September","October","November","December"},0),1))</f>
        <v/>
      </c>
      <c r="B16" s="33" t="inlineStr">
        <is>
          <t>July</t>
        </is>
      </c>
      <c r="C16" s="34">
        <f>IF(B16="","","Monthly Rent Charge")</f>
        <v/>
      </c>
      <c r="D16" s="34" t="n"/>
      <c r="E16" s="35">
        <f>IF(C16="Monthly Rent Charge",$D$3,"")</f>
        <v/>
      </c>
      <c r="F16" s="35">
        <f>IF(C16="Monthly Rent Charge",$F$3,"")</f>
        <v/>
      </c>
      <c r="G16" s="41" t="n"/>
      <c r="H16" s="34" t="n"/>
      <c r="I16" s="36">
        <f>IF(AND(A16="",C16=""),"",IF(C16="Payment Received",I15-IFERROR(G16,0),IF(C16="Monthly Rent Charge",I15+IFERROR(E16,0)+IFERROR(F16,0),I15)))</f>
        <v/>
      </c>
      <c r="J16" s="37" t="n"/>
    </row>
    <row r="17" ht="15" customHeight="1" s="62">
      <c r="A17" s="54" t="n">
        <v>46216</v>
      </c>
      <c r="B17" s="33" t="n"/>
      <c r="C17" s="34" t="inlineStr">
        <is>
          <t>Payment Received</t>
        </is>
      </c>
      <c r="D17" s="34" t="n"/>
      <c r="E17" s="35">
        <f>IF(C17="Monthly Rent Charge",$D$3,"")</f>
        <v/>
      </c>
      <c r="F17" s="35">
        <f>IF(C17="Monthly Rent Charge",$F$3,"")</f>
        <v/>
      </c>
      <c r="G17" s="41" t="n">
        <v>3200</v>
      </c>
      <c r="H17" s="34" t="inlineStr">
        <is>
          <t>UGDDQARLX0</t>
        </is>
      </c>
      <c r="I17" s="36">
        <f>IF(AND(A17="",C17=""),"",IF(C17="Payment Received",I16-IFERROR(G17,0),IF(C17="Monthly Rent Charge",I16+IFERROR(E17,0)+IFERROR(F17,0),IFERROR(I16,0))))</f>
        <v/>
      </c>
      <c r="J17" s="37" t="n"/>
    </row>
    <row r="18" ht="15" customHeight="1" s="62">
      <c r="A18" s="54">
        <f>IF(B18="","",DATE(YEAR(TODAY()),MATCH(B18,{"January","February","March","April","May","June","July","August","September","October","November","December"},0),1))</f>
        <v/>
      </c>
      <c r="B18" s="33" t="inlineStr">
        <is>
          <t>August</t>
        </is>
      </c>
      <c r="C18" s="34">
        <f>IF(B18="","","Monthly Rent Charge")</f>
        <v/>
      </c>
      <c r="D18" s="34" t="n"/>
      <c r="E18" s="35">
        <f>IF(C18="Monthly Rent Charge",$D$3,"")</f>
        <v/>
      </c>
      <c r="F18" s="35">
        <f>IF(C18="Monthly Rent Charge",$F$3,"")</f>
        <v/>
      </c>
      <c r="G18" s="41" t="n"/>
      <c r="H18" s="34" t="n"/>
      <c r="I18" s="36">
        <f>IF(AND(A18="",C18=""),"",IF(C18="Payment Received",I17-IFERROR(G18,0),IF(C18="Monthly Rent Charge",I17+IFERROR(E18,0)+IFERROR(F18,0),IFERROR(I17,0))))</f>
        <v/>
      </c>
      <c r="J18" s="37" t="n"/>
    </row>
    <row r="19" ht="15" customHeight="1" s="62">
      <c r="A19" s="54" t="n">
        <v>46246</v>
      </c>
      <c r="B19" s="33" t="n"/>
      <c r="C19" s="34" t="inlineStr">
        <is>
          <t>Payment Received</t>
        </is>
      </c>
      <c r="D19" s="34" t="n"/>
      <c r="E19" s="35">
        <f>IF(C19="Monthly Rent Charge",$D$3,"")</f>
        <v/>
      </c>
      <c r="F19" s="35">
        <f>IF(C19="Monthly Rent Charge",$F$3,"")</f>
        <v/>
      </c>
      <c r="G19" s="41" t="n">
        <v>3200</v>
      </c>
      <c r="H19" s="34" t="inlineStr">
        <is>
          <t>UHCDQ26GRT</t>
        </is>
      </c>
      <c r="I19" s="36">
        <f>IF(AND(A19="",C19=""),"",IF(C19="Payment Received",I18-IFERROR(G19,0),IF(C19="Monthly Rent Charge",I18+IFERROR(E19,0)+IFERROR(F19,0),IFERROR(I18,0))))</f>
        <v/>
      </c>
      <c r="J19" s="37" t="n"/>
    </row>
    <row r="20" ht="15" customHeight="1" s="62">
      <c r="A20" s="54">
        <f>IF(B20="","",DATE(YEAR(TODAY()),MATCH(B20,{"January","February","March","April","May","June","July","August","September","October","November","December"},0),1))</f>
        <v/>
      </c>
      <c r="B20" s="33" t="n"/>
      <c r="C20" s="34">
        <f>IF(B20="","","Monthly Rent Charge")</f>
        <v/>
      </c>
      <c r="D20" s="34" t="n"/>
      <c r="E20" s="35">
        <f>IF(C20="Monthly Rent Charge",$D$3,"")</f>
        <v/>
      </c>
      <c r="F20" s="35">
        <f>IF(C20="Monthly Rent Charge",$F$3,"")</f>
        <v/>
      </c>
      <c r="G20" s="41" t="n"/>
      <c r="H20" s="34" t="n"/>
      <c r="I20" s="36">
        <f>IF(AND(A20="",C20=""),"",IF(C20="Payment Received",I19-IFERROR(G20,0),IF(C20="Monthly Rent Charge",I19+IFERROR(E20,0)+IFERROR(F20,0),IFERROR(I19,0))))</f>
        <v/>
      </c>
      <c r="J20" s="37" t="n"/>
    </row>
    <row r="21" ht="15" customHeight="1" s="62">
      <c r="A21" s="54">
        <f>IF(B21="","",DATE(YEAR(TODAY()),MATCH(B21,{"January","February","March","April","May","June","July","August","September","October","November","December"},0),1))</f>
        <v/>
      </c>
      <c r="B21" s="33" t="n"/>
      <c r="C21" s="34">
        <f>IF(B21="","","Monthly Rent Charge")</f>
        <v/>
      </c>
      <c r="D21" s="34" t="n"/>
      <c r="E21" s="35">
        <f>IF(C21="Monthly Rent Charge",$D$3,"")</f>
        <v/>
      </c>
      <c r="F21" s="35">
        <f>IF(C21="Monthly Rent Charge",$F$3,"")</f>
        <v/>
      </c>
      <c r="G21" s="41" t="n"/>
      <c r="H21" s="34" t="n"/>
      <c r="I21" s="36">
        <f>IF(AND(A21="",C21=""),"",IF(C21="Payment Received",I20-IFERROR(G21,0),IF(C21="Monthly Rent Charge",I20+IFERROR(E21,0)+IFERROR(F21,0),IFERROR(I20,0))))</f>
        <v/>
      </c>
      <c r="J21" s="37" t="n"/>
    </row>
    <row r="22" ht="15" customHeight="1" s="62">
      <c r="A22" s="54">
        <f>IF(B22="","",DATE(YEAR(TODAY()),MATCH(B22,{"January","February","March","April","May","June","July","August","September","October","November","December"},0),1))</f>
        <v/>
      </c>
      <c r="B22" s="33" t="n"/>
      <c r="C22" s="34">
        <f>IF(B22="","","Monthly Rent Charge")</f>
        <v/>
      </c>
      <c r="D22" s="34" t="n"/>
      <c r="E22" s="35">
        <f>IF(C22="Monthly Rent Charge",$D$3,"")</f>
        <v/>
      </c>
      <c r="F22" s="35">
        <f>IF(C22="Monthly Rent Charge",$F$3,"")</f>
        <v/>
      </c>
      <c r="G22" s="41" t="n"/>
      <c r="H22" s="34" t="n"/>
      <c r="I22" s="36">
        <f>IF(AND(A22="",C22=""),"",IF(C22="Payment Received",I21-IFERROR(G22,0),IF(C22="Monthly Rent Charge",I21+IFERROR(E22,0)+IFERROR(F22,0),IFERROR(I21,0))))</f>
        <v/>
      </c>
      <c r="J22" s="37" t="n"/>
    </row>
    <row r="23" ht="15" customHeight="1" s="62">
      <c r="A23" s="54">
        <f>IF(B23="","",DATE(YEAR(TODAY()),MATCH(B23,{"January","February","March","April","May","June","July","August","September","October","November","December"},0),1))</f>
        <v/>
      </c>
      <c r="B23" s="33" t="n"/>
      <c r="C23" s="34">
        <f>IF(B23="","","Monthly Rent Charge")</f>
        <v/>
      </c>
      <c r="D23" s="34" t="n"/>
      <c r="E23" s="35">
        <f>IF(C23="Monthly Rent Charge",$D$3,"")</f>
        <v/>
      </c>
      <c r="F23" s="35">
        <f>IF(C23="Monthly Rent Charge",$F$3,"")</f>
        <v/>
      </c>
      <c r="G23" s="41" t="n"/>
      <c r="H23" s="34" t="n"/>
      <c r="I23" s="36">
        <f>IF(AND(A23="",C23=""),"",IF(C23="Payment Received",I22-IFERROR(G23,0),IF(C23="Monthly Rent Charge",I22+IFERROR(E23,0)+IFERROR(F23,0),IFERROR(I22,0))))</f>
        <v/>
      </c>
      <c r="J23" s="37" t="n"/>
    </row>
    <row r="24" ht="15" customHeight="1" s="62">
      <c r="A24" s="54">
        <f>IF(B24="","",DATE(YEAR(TODAY()),MATCH(B24,{"January","February","March","April","May","June","July","August","September","October","November","December"},0),1))</f>
        <v/>
      </c>
      <c r="B24" s="33" t="n"/>
      <c r="C24" s="34">
        <f>IF(B24="","","Monthly Rent Charge")</f>
        <v/>
      </c>
      <c r="D24" s="34" t="n"/>
      <c r="E24" s="35">
        <f>IF(C24="Monthly Rent Charge",$D$3,"")</f>
        <v/>
      </c>
      <c r="F24" s="35">
        <f>IF(C24="Monthly Rent Charge",$F$3,"")</f>
        <v/>
      </c>
      <c r="G24" s="41" t="n"/>
      <c r="H24" s="34" t="n"/>
      <c r="I24" s="36">
        <f>IF(AND(A24="",C24=""),"",IF(C24="Payment Received",I23-IFERROR(G24,0),IF(C24="Monthly Rent Charge",I23+IFERROR(E24,0)+IFERROR(F24,0),IFERROR(I23,0))))</f>
        <v/>
      </c>
      <c r="J24" s="37" t="n"/>
    </row>
    <row r="25" ht="15" customHeight="1" s="62">
      <c r="A25" s="54">
        <f>IF(B25="","",DATE(YEAR(TODAY()),MATCH(B25,{"January","February","March","April","May","June","July","August","September","October","November","December"},0),1))</f>
        <v/>
      </c>
      <c r="B25" s="33" t="n"/>
      <c r="C25" s="34">
        <f>IF(B25="","","Monthly Rent Charge")</f>
        <v/>
      </c>
      <c r="D25" s="34" t="n"/>
      <c r="E25" s="35">
        <f>IF(C25="Monthly Rent Charge",$D$3,"")</f>
        <v/>
      </c>
      <c r="F25" s="35">
        <f>IF(C25="Monthly Rent Charge",$F$3,"")</f>
        <v/>
      </c>
      <c r="G25" s="41" t="n"/>
      <c r="H25" s="34" t="n"/>
      <c r="I25" s="36">
        <f>IF(AND(A25="",C25=""),"",IF(C25="Payment Received",I24-IFERROR(G25,0),IF(C25="Monthly Rent Charge",I24+IFERROR(E25,0)+IFERROR(F25,0),IFERROR(I24,0))))</f>
        <v/>
      </c>
      <c r="J25" s="37" t="n"/>
    </row>
    <row r="26" ht="15" customHeight="1" s="62">
      <c r="A26" s="54">
        <f>IF(B26="","",DATE(YEAR(TODAY()),MATCH(B26,{"January","February","March","April","May","June","July","August","September","October","November","December"},0),1))</f>
        <v/>
      </c>
      <c r="B26" s="33" t="n"/>
      <c r="C26" s="34">
        <f>IF(B26="","","Monthly Rent Charge")</f>
        <v/>
      </c>
      <c r="D26" s="34" t="n"/>
      <c r="E26" s="35">
        <f>IF(C26="Monthly Rent Charge",$D$3,"")</f>
        <v/>
      </c>
      <c r="F26" s="35">
        <f>IF(C26="Monthly Rent Charge",$F$3,"")</f>
        <v/>
      </c>
      <c r="G26" s="41" t="n"/>
      <c r="H26" s="34" t="n"/>
      <c r="I26" s="36">
        <f>IF(AND(A26="",C26=""),"",IF(C26="Payment Received",I25-IFERROR(G26,0),IF(C26="Monthly Rent Charge",I25+IFERROR(E26,0)+IFERROR(F26,0),IFERROR(I25,0))))</f>
        <v/>
      </c>
      <c r="J26" s="37" t="n"/>
    </row>
    <row r="27" ht="15" customHeight="1" s="62">
      <c r="A27" s="54">
        <f>IF(B27="","",DATE(YEAR(TODAY()),MATCH(B27,{"January","February","March","April","May","June","July","August","September","October","November","December"},0),1))</f>
        <v/>
      </c>
      <c r="B27" s="33" t="n"/>
      <c r="C27" s="34">
        <f>IF(B27="","","Monthly Rent Charge")</f>
        <v/>
      </c>
      <c r="D27" s="34" t="n"/>
      <c r="E27" s="35">
        <f>IF(C27="Monthly Rent Charge",$D$3,"")</f>
        <v/>
      </c>
      <c r="F27" s="35">
        <f>IF(C27="Monthly Rent Charge",$F$3,"")</f>
        <v/>
      </c>
      <c r="G27" s="41" t="n"/>
      <c r="H27" s="34" t="n"/>
      <c r="I27" s="36">
        <f>IF(AND(A27="",C27=""),"",IF(C27="Payment Received",I26-IFERROR(G27,0),IF(C27="Monthly Rent Charge",I26+IFERROR(E27,0)+IFERROR(F27,0),IFERROR(I26,0))))</f>
        <v/>
      </c>
      <c r="J27" s="37" t="n"/>
    </row>
    <row r="28" ht="15" customHeight="1" s="62">
      <c r="A28" s="54">
        <f>IF(B28="","",DATE(YEAR(TODAY()),MATCH(B28,{"January","February","March","April","May","June","July","August","September","October","November","December"},0),1))</f>
        <v/>
      </c>
      <c r="B28" s="33" t="n"/>
      <c r="C28" s="34">
        <f>IF(B28="","","Monthly Rent Charge")</f>
        <v/>
      </c>
      <c r="D28" s="34" t="n"/>
      <c r="E28" s="35">
        <f>IF(C28="Monthly Rent Charge",$D$3,"")</f>
        <v/>
      </c>
      <c r="F28" s="35">
        <f>IF(C28="Monthly Rent Charge",$F$3,"")</f>
        <v/>
      </c>
      <c r="G28" s="41" t="n"/>
      <c r="H28" s="34" t="n"/>
      <c r="I28" s="36">
        <f>IF(AND(A28="",C28=""),"",IF(C28="Payment Received",I27-IFERROR(G28,0),IF(C28="Monthly Rent Charge",I27+IFERROR(E28,0)+IFERROR(F28,0),IFERROR(I27,0))))</f>
        <v/>
      </c>
      <c r="J28" s="37" t="n"/>
    </row>
    <row r="29" ht="15" customHeight="1" s="62">
      <c r="A29" s="54">
        <f>IF(B29="","",DATE(YEAR(TODAY()),MATCH(B29,{"January","February","March","April","May","June","July","August","September","October","November","December"},0),1))</f>
        <v/>
      </c>
      <c r="B29" s="33" t="n"/>
      <c r="C29" s="34">
        <f>IF(B29="","","Monthly Rent Charge")</f>
        <v/>
      </c>
      <c r="D29" s="34" t="n"/>
      <c r="E29" s="35">
        <f>IF(C29="Monthly Rent Charge",$D$3,"")</f>
        <v/>
      </c>
      <c r="F29" s="35">
        <f>IF(C29="Monthly Rent Charge",$F$3,"")</f>
        <v/>
      </c>
      <c r="G29" s="41" t="n"/>
      <c r="H29" s="34" t="n"/>
      <c r="I29" s="36">
        <f>IF(AND(A29="",C29=""),"",IF(C29="Payment Received",I28-IFERROR(G29,0),IF(C29="Monthly Rent Charge",I28+IFERROR(E29,0)+IFERROR(F29,0),IFERROR(I28,0))))</f>
        <v/>
      </c>
      <c r="J29" s="37" t="n"/>
    </row>
    <row r="30" ht="15" customHeight="1" s="62">
      <c r="A30" s="54">
        <f>IF(B30="","",DATE(YEAR(TODAY()),MATCH(B30,{"January","February","March","April","May","June","July","August","September","October","November","December"},0),1))</f>
        <v/>
      </c>
      <c r="B30" s="33" t="n"/>
      <c r="C30" s="34">
        <f>IF(B30="","","Monthly Rent Charge")</f>
        <v/>
      </c>
      <c r="D30" s="34" t="n"/>
      <c r="E30" s="35">
        <f>IF(C30="Monthly Rent Charge",$D$3,"")</f>
        <v/>
      </c>
      <c r="F30" s="35">
        <f>IF(C30="Monthly Rent Charge",$F$3,"")</f>
        <v/>
      </c>
      <c r="G30" s="41" t="n"/>
      <c r="H30" s="34" t="n"/>
      <c r="I30" s="36">
        <f>IF(AND(A30="",C30=""),"",IF(C30="Payment Received",I29-IFERROR(G30,0),IF(C30="Monthly Rent Charge",I29+IFERROR(E30,0)+IFERROR(F30,0),IFERROR(I29,0))))</f>
        <v/>
      </c>
      <c r="J30" s="37" t="n"/>
    </row>
    <row r="31" ht="15" customHeight="1" s="62">
      <c r="A31" s="54">
        <f>IF(B31="","",DATE(YEAR(TODAY()),MATCH(B31,{"January","February","March","April","May","June","July","August","September","October","November","December"},0),1))</f>
        <v/>
      </c>
      <c r="B31" s="33" t="n"/>
      <c r="C31" s="34">
        <f>IF(B31="","","Monthly Rent Charge")</f>
        <v/>
      </c>
      <c r="D31" s="34" t="n"/>
      <c r="E31" s="35">
        <f>IF(C31="Monthly Rent Charge",$D$3,"")</f>
        <v/>
      </c>
      <c r="F31" s="35">
        <f>IF(C31="Monthly Rent Charge",$F$3,"")</f>
        <v/>
      </c>
      <c r="G31" s="41" t="n"/>
      <c r="H31" s="34" t="n"/>
      <c r="I31" s="36">
        <f>IF(AND(A31="",C31=""),"",IF(C31="Payment Received",I30-IFERROR(G31,0),IF(C31="Monthly Rent Charge",I30+IFERROR(E31,0)+IFERROR(F31,0),IFERROR(I30,0))))</f>
        <v/>
      </c>
      <c r="J31" s="37" t="n"/>
    </row>
    <row r="32" ht="15" customHeight="1" s="62">
      <c r="A32" s="54" t="n"/>
      <c r="B32" s="33" t="n"/>
      <c r="C32" s="34" t="n"/>
      <c r="D32" s="34" t="n"/>
      <c r="E32" s="35" t="n"/>
      <c r="F32" s="35" t="n"/>
      <c r="G32" s="41" t="n"/>
      <c r="H32" s="34" t="n"/>
      <c r="I32" s="36" t="n"/>
      <c r="J32" s="37" t="n"/>
    </row>
    <row r="33" ht="15" customHeight="1" s="62">
      <c r="A33" s="54" t="n"/>
      <c r="B33" s="33" t="n"/>
      <c r="C33" s="34" t="n"/>
      <c r="D33" s="34" t="n"/>
      <c r="E33" s="35" t="n"/>
      <c r="F33" s="35" t="n"/>
      <c r="G33" s="41" t="n"/>
      <c r="H33" s="34" t="n"/>
      <c r="I33" s="36" t="n"/>
      <c r="J33" s="37" t="n"/>
    </row>
    <row r="34" ht="15" customHeight="1" s="62">
      <c r="A34" s="54" t="n"/>
      <c r="B34" s="33" t="n"/>
      <c r="C34" s="34" t="n"/>
      <c r="D34" s="34" t="n"/>
      <c r="E34" s="35" t="n"/>
      <c r="F34" s="35" t="n"/>
      <c r="G34" s="41" t="n"/>
      <c r="H34" s="34" t="n"/>
      <c r="I34" s="36" t="n"/>
      <c r="J34" s="37" t="n"/>
    </row>
    <row r="35" ht="15" customHeight="1" s="62">
      <c r="A35" s="54" t="n"/>
      <c r="B35" s="33" t="n"/>
      <c r="C35" s="34" t="n"/>
      <c r="D35" s="34" t="n"/>
      <c r="E35" s="35" t="n"/>
      <c r="F35" s="35" t="n"/>
      <c r="G35" s="41" t="n"/>
      <c r="H35" s="34" t="n"/>
      <c r="I35" s="36" t="n"/>
      <c r="J35" s="37" t="n"/>
    </row>
    <row r="36" ht="15" customHeight="1" s="62">
      <c r="A36" s="54" t="n"/>
      <c r="B36" s="33" t="n"/>
      <c r="C36" s="34" t="n"/>
      <c r="D36" s="34" t="n"/>
      <c r="E36" s="35" t="n"/>
      <c r="F36" s="35" t="n"/>
      <c r="G36" s="41" t="n"/>
      <c r="H36" s="34" t="n"/>
      <c r="I36" s="36" t="n"/>
      <c r="J36" s="37" t="n"/>
    </row>
    <row r="37" ht="15" customHeight="1" s="62">
      <c r="A37" s="54" t="n"/>
      <c r="B37" s="33" t="n"/>
      <c r="C37" s="34" t="n"/>
      <c r="D37" s="34" t="n"/>
      <c r="E37" s="35" t="n"/>
      <c r="F37" s="35" t="n"/>
      <c r="G37" s="41" t="n"/>
      <c r="H37" s="34" t="n"/>
      <c r="I37" s="36" t="n"/>
      <c r="J37" s="37" t="n"/>
    </row>
    <row r="38" ht="15" customHeight="1" s="62">
      <c r="A38" s="54" t="n"/>
      <c r="B38" s="33" t="n"/>
      <c r="C38" s="34" t="n"/>
      <c r="D38" s="34" t="n"/>
      <c r="E38" s="35" t="n"/>
      <c r="F38" s="35" t="n"/>
      <c r="G38" s="41" t="n"/>
      <c r="H38" s="34" t="n"/>
      <c r="I38" s="36" t="n"/>
      <c r="J38" s="37" t="n"/>
    </row>
    <row r="39" ht="15" customHeight="1" s="62">
      <c r="A39" s="54" t="n"/>
      <c r="B39" s="33" t="n"/>
      <c r="C39" s="34" t="n"/>
      <c r="D39" s="34" t="n"/>
      <c r="E39" s="35" t="n"/>
      <c r="F39" s="35" t="n"/>
      <c r="G39" s="41" t="n"/>
      <c r="H39" s="34" t="n"/>
      <c r="I39" s="36" t="n"/>
      <c r="J39" s="37" t="n"/>
    </row>
    <row r="40" ht="15" customHeight="1" s="62">
      <c r="A40" s="54" t="n"/>
      <c r="B40" s="33" t="n"/>
      <c r="C40" s="34" t="n"/>
      <c r="D40" s="34" t="n"/>
      <c r="E40" s="35" t="n"/>
      <c r="F40" s="35" t="n"/>
      <c r="G40" s="41" t="n"/>
      <c r="H40" s="34" t="n"/>
      <c r="I40" s="36" t="n"/>
      <c r="J40" s="37" t="n"/>
    </row>
    <row r="41" ht="15" customHeight="1" s="62">
      <c r="A41" s="54" t="n"/>
      <c r="B41" s="33" t="n"/>
      <c r="C41" s="34" t="n"/>
      <c r="D41" s="34" t="n"/>
      <c r="E41" s="35" t="n"/>
      <c r="F41" s="35" t="n"/>
      <c r="G41" s="41" t="n"/>
      <c r="H41" s="34" t="n"/>
      <c r="I41" s="36" t="n"/>
      <c r="J41" s="37" t="n"/>
    </row>
    <row r="42" ht="15" customHeight="1" s="62">
      <c r="A42" s="54" t="n"/>
      <c r="B42" s="33" t="n"/>
      <c r="C42" s="34" t="n"/>
      <c r="D42" s="34" t="n"/>
      <c r="E42" s="35" t="n"/>
      <c r="F42" s="35" t="n"/>
      <c r="G42" s="41" t="n"/>
      <c r="H42" s="34" t="n"/>
      <c r="I42" s="36" t="n"/>
      <c r="J42" s="37" t="n"/>
    </row>
    <row r="43" ht="15" customHeight="1" s="62">
      <c r="A43" s="54" t="n"/>
      <c r="B43" s="33" t="n"/>
      <c r="C43" s="34" t="n"/>
      <c r="D43" s="34" t="n"/>
      <c r="E43" s="35" t="n"/>
      <c r="F43" s="35" t="n"/>
      <c r="G43" s="41" t="n"/>
      <c r="H43" s="34" t="n"/>
      <c r="I43" s="36" t="n"/>
      <c r="J43" s="37" t="n"/>
    </row>
    <row r="44" ht="15" customHeight="1" s="62">
      <c r="A44" s="54" t="n"/>
      <c r="B44" s="33" t="n"/>
      <c r="C44" s="34" t="n"/>
      <c r="D44" s="34" t="n"/>
      <c r="E44" s="35" t="n"/>
      <c r="F44" s="35" t="n"/>
      <c r="G44" s="41" t="n"/>
      <c r="H44" s="34" t="n"/>
      <c r="I44" s="36" t="n"/>
      <c r="J44" s="37" t="n"/>
    </row>
    <row r="45" ht="15" customHeight="1" s="62">
      <c r="A45" s="54" t="n"/>
      <c r="B45" s="33" t="n"/>
      <c r="C45" s="34" t="n"/>
      <c r="D45" s="34" t="n"/>
      <c r="E45" s="35" t="n"/>
      <c r="F45" s="35" t="n"/>
      <c r="G45" s="41" t="n"/>
      <c r="H45" s="34" t="n"/>
      <c r="I45" s="36" t="n"/>
      <c r="J45" s="37" t="n"/>
    </row>
    <row r="46" ht="15" customHeight="1" s="62">
      <c r="A46" s="54" t="n"/>
      <c r="B46" s="33" t="n"/>
      <c r="C46" s="34" t="n"/>
      <c r="D46" s="34" t="n"/>
      <c r="E46" s="35" t="n"/>
      <c r="F46" s="35" t="n"/>
      <c r="G46" s="41" t="n"/>
      <c r="H46" s="34" t="n"/>
      <c r="I46" s="36" t="n"/>
      <c r="J46" s="37" t="n"/>
    </row>
    <row r="47" ht="15" customHeight="1" s="62">
      <c r="A47" s="54" t="n"/>
      <c r="B47" s="33" t="n"/>
      <c r="C47" s="34" t="n"/>
      <c r="D47" s="34" t="n"/>
      <c r="E47" s="35" t="n"/>
      <c r="F47" s="35" t="n"/>
      <c r="G47" s="41" t="n"/>
      <c r="H47" s="34" t="n"/>
      <c r="I47" s="36" t="n"/>
      <c r="J47" s="37" t="n"/>
    </row>
    <row r="48" ht="15" customHeight="1" s="62">
      <c r="A48" s="54" t="n"/>
      <c r="B48" s="33" t="n"/>
      <c r="C48" s="34" t="n"/>
      <c r="D48" s="34" t="n"/>
      <c r="E48" s="35" t="n"/>
      <c r="F48" s="35" t="n"/>
      <c r="G48" s="41" t="n"/>
      <c r="H48" s="34" t="n"/>
      <c r="I48" s="36" t="n"/>
      <c r="J48" s="37" t="n"/>
    </row>
    <row r="49" ht="15" customHeight="1" s="62">
      <c r="A49" s="54" t="n"/>
      <c r="B49" s="33" t="n"/>
      <c r="C49" s="34" t="n"/>
      <c r="D49" s="34" t="n"/>
      <c r="E49" s="35" t="n"/>
      <c r="F49" s="35" t="n"/>
      <c r="G49" s="41" t="n"/>
      <c r="H49" s="34" t="n"/>
      <c r="I49" s="36" t="n"/>
      <c r="J49" s="37" t="n"/>
    </row>
    <row r="50" ht="15" customHeight="1" s="62">
      <c r="A50" s="54" t="n"/>
      <c r="B50" s="33" t="n"/>
      <c r="C50" s="34" t="n"/>
      <c r="D50" s="34" t="n"/>
      <c r="E50" s="35" t="n"/>
      <c r="F50" s="35" t="n"/>
      <c r="G50" s="41" t="n"/>
      <c r="H50" s="34" t="n"/>
      <c r="I50" s="36" t="n"/>
      <c r="J50" s="37" t="n"/>
    </row>
    <row r="51" ht="15" customHeight="1" s="62">
      <c r="A51" s="54" t="n"/>
      <c r="B51" s="33" t="n"/>
      <c r="C51" s="34" t="n"/>
      <c r="D51" s="34" t="n"/>
      <c r="E51" s="35" t="n"/>
      <c r="F51" s="35" t="n"/>
      <c r="G51" s="41" t="n"/>
      <c r="H51" s="34" t="n"/>
      <c r="I51" s="36" t="n"/>
      <c r="J51" s="37" t="n"/>
    </row>
    <row r="52" ht="15" customHeight="1" s="62">
      <c r="A52" s="54" t="n"/>
      <c r="B52" s="33" t="n"/>
      <c r="C52" s="34" t="n"/>
      <c r="D52" s="34" t="n"/>
      <c r="E52" s="35" t="n"/>
      <c r="F52" s="35" t="n"/>
      <c r="G52" s="41" t="n"/>
      <c r="H52" s="34" t="n"/>
      <c r="I52" s="36" t="n"/>
      <c r="J52" s="37" t="n"/>
    </row>
    <row r="53" ht="15" customHeight="1" s="62">
      <c r="A53" s="54" t="n"/>
      <c r="B53" s="33" t="n"/>
      <c r="C53" s="34" t="n"/>
      <c r="D53" s="34" t="n"/>
      <c r="E53" s="35" t="n"/>
      <c r="F53" s="35" t="n"/>
      <c r="G53" s="41" t="n"/>
      <c r="H53" s="34" t="n"/>
      <c r="I53" s="36" t="n"/>
      <c r="J53" s="37" t="n"/>
    </row>
    <row r="54" ht="15" customHeight="1" s="62">
      <c r="A54" s="54" t="n"/>
      <c r="B54" s="33" t="n"/>
      <c r="C54" s="34" t="n"/>
      <c r="D54" s="34" t="n"/>
      <c r="E54" s="35" t="n"/>
      <c r="F54" s="35" t="n"/>
      <c r="G54" s="41" t="n"/>
      <c r="H54" s="34" t="n"/>
      <c r="I54" s="36" t="n"/>
      <c r="J54" s="37" t="n"/>
    </row>
    <row r="55" ht="15" customHeight="1" s="62">
      <c r="A55" s="54" t="n"/>
      <c r="B55" s="33" t="n"/>
      <c r="C55" s="34" t="n"/>
      <c r="D55" s="34" t="n"/>
      <c r="E55" s="35" t="n"/>
      <c r="F55" s="35" t="n"/>
      <c r="G55" s="41" t="n"/>
      <c r="H55" s="34" t="n"/>
      <c r="I55" s="36" t="n"/>
      <c r="J55" s="37" t="n"/>
    </row>
    <row r="56" ht="15" customHeight="1" s="62">
      <c r="A56" s="54" t="n"/>
      <c r="B56" s="33" t="n"/>
      <c r="C56" s="34" t="n"/>
      <c r="D56" s="34" t="n"/>
      <c r="E56" s="35" t="n"/>
      <c r="F56" s="35" t="n"/>
      <c r="G56" s="41" t="n"/>
      <c r="H56" s="34" t="n"/>
      <c r="I56" s="36" t="n"/>
      <c r="J56" s="37" t="n"/>
    </row>
    <row r="57" ht="15" customHeight="1" s="62">
      <c r="A57" s="54" t="n"/>
      <c r="B57" s="33" t="n"/>
      <c r="C57" s="34" t="n"/>
      <c r="D57" s="34" t="n"/>
      <c r="E57" s="35" t="n"/>
      <c r="F57" s="35" t="n"/>
      <c r="G57" s="41" t="n"/>
      <c r="H57" s="34" t="n"/>
      <c r="I57" s="36" t="n"/>
      <c r="J57" s="37" t="n"/>
    </row>
    <row r="58" ht="15" customHeight="1" s="62">
      <c r="A58" s="54" t="n"/>
      <c r="B58" s="33" t="n"/>
      <c r="C58" s="34" t="n"/>
      <c r="D58" s="34" t="n"/>
      <c r="E58" s="35" t="n"/>
      <c r="F58" s="35" t="n"/>
      <c r="G58" s="41" t="n"/>
      <c r="H58" s="34" t="n"/>
      <c r="I58" s="36" t="n"/>
      <c r="J58" s="37" t="n"/>
    </row>
    <row r="59" ht="15" customHeight="1" s="62">
      <c r="A59" s="54" t="n"/>
      <c r="B59" s="33" t="n"/>
      <c r="C59" s="34" t="n"/>
      <c r="D59" s="34" t="n"/>
      <c r="E59" s="35" t="n"/>
      <c r="F59" s="35" t="n"/>
      <c r="G59" s="41" t="n"/>
      <c r="H59" s="34" t="n"/>
      <c r="I59" s="36" t="n"/>
      <c r="J59" s="37" t="n"/>
    </row>
    <row r="60" ht="15" customHeight="1" s="62">
      <c r="A60" s="54" t="n"/>
      <c r="B60" s="33" t="n"/>
      <c r="C60" s="34" t="n"/>
      <c r="D60" s="34" t="n"/>
      <c r="E60" s="35" t="n"/>
      <c r="F60" s="35" t="n"/>
      <c r="G60" s="41" t="n"/>
      <c r="H60" s="34" t="n"/>
      <c r="I60" s="36" t="n"/>
      <c r="J60" s="37" t="n"/>
    </row>
    <row r="61" ht="15" customHeight="1" s="62">
      <c r="A61" s="54" t="n"/>
      <c r="B61" s="33" t="n"/>
      <c r="C61" s="34" t="n"/>
      <c r="D61" s="34" t="n"/>
      <c r="E61" s="35" t="n"/>
      <c r="F61" s="35" t="n"/>
      <c r="G61" s="41" t="n"/>
      <c r="H61" s="34" t="n"/>
      <c r="I61" s="36" t="n"/>
      <c r="J61" s="37" t="n"/>
    </row>
    <row r="62" ht="15" customHeight="1" s="62">
      <c r="A62" s="54" t="n"/>
      <c r="B62" s="33" t="n"/>
      <c r="C62" s="34" t="n"/>
      <c r="D62" s="34" t="n"/>
      <c r="E62" s="35" t="n"/>
      <c r="F62" s="35" t="n"/>
      <c r="G62" s="41" t="n"/>
      <c r="H62" s="34" t="n"/>
      <c r="I62" s="36" t="n"/>
      <c r="J62" s="37" t="n"/>
    </row>
    <row r="63" ht="15" customHeight="1" s="62">
      <c r="A63" s="54" t="n"/>
      <c r="B63" s="33" t="n"/>
      <c r="C63" s="34" t="n"/>
      <c r="D63" s="34" t="n"/>
      <c r="E63" s="35" t="n"/>
      <c r="F63" s="35" t="n"/>
      <c r="G63" s="41" t="n"/>
      <c r="H63" s="34" t="n"/>
      <c r="I63" s="36" t="n"/>
      <c r="J63" s="37" t="n"/>
    </row>
    <row r="64" ht="15" customHeight="1" s="62">
      <c r="A64" s="54" t="n"/>
      <c r="B64" s="33" t="n"/>
      <c r="C64" s="34" t="n"/>
      <c r="D64" s="34" t="n"/>
      <c r="E64" s="35" t="n"/>
      <c r="F64" s="35" t="n"/>
      <c r="G64" s="41" t="n"/>
      <c r="H64" s="34" t="n"/>
      <c r="I64" s="36" t="n"/>
      <c r="J64" s="37" t="n"/>
    </row>
    <row r="65" ht="15" customHeight="1" s="62">
      <c r="A65" s="54" t="n"/>
      <c r="B65" s="33" t="n"/>
      <c r="C65" s="34" t="n"/>
      <c r="D65" s="34" t="n"/>
      <c r="E65" s="35" t="n"/>
      <c r="F65" s="35" t="n"/>
      <c r="G65" s="41" t="n"/>
      <c r="H65" s="34" t="n"/>
      <c r="I65" s="36" t="n"/>
      <c r="J65" s="37" t="n"/>
    </row>
    <row r="66" ht="15" customHeight="1" s="62">
      <c r="A66" s="54" t="n"/>
      <c r="B66" s="33" t="n"/>
      <c r="C66" s="34" t="n"/>
      <c r="D66" s="34" t="n"/>
      <c r="E66" s="35" t="n"/>
      <c r="F66" s="35" t="n"/>
      <c r="G66" s="41" t="n"/>
      <c r="H66" s="34" t="n"/>
      <c r="I66" s="36" t="n"/>
      <c r="J66" s="37" t="n"/>
    </row>
    <row r="67" ht="15" customHeight="1" s="62">
      <c r="A67" s="54" t="n"/>
      <c r="B67" s="33" t="n"/>
      <c r="C67" s="34" t="n"/>
      <c r="D67" s="34" t="n"/>
      <c r="E67" s="35" t="n"/>
      <c r="F67" s="35" t="n"/>
      <c r="G67" s="41" t="n"/>
      <c r="H67" s="34" t="n"/>
      <c r="I67" s="36" t="n"/>
      <c r="J67" s="37" t="n"/>
    </row>
    <row r="68" ht="15" customHeight="1" s="62">
      <c r="A68" s="54" t="n"/>
      <c r="B68" s="33" t="n"/>
      <c r="C68" s="34" t="n"/>
      <c r="D68" s="34" t="n"/>
      <c r="E68" s="35" t="n"/>
      <c r="F68" s="35" t="n"/>
      <c r="G68" s="41" t="n"/>
      <c r="H68" s="34" t="n"/>
      <c r="I68" s="36" t="n"/>
      <c r="J68" s="37" t="n"/>
    </row>
    <row r="69" ht="15" customHeight="1" s="62">
      <c r="A69" s="54" t="n"/>
      <c r="B69" s="33" t="n"/>
      <c r="C69" s="34" t="n"/>
      <c r="D69" s="34" t="n"/>
      <c r="E69" s="35" t="n"/>
      <c r="F69" s="35" t="n"/>
      <c r="G69" s="41" t="n"/>
      <c r="H69" s="34" t="n"/>
      <c r="I69" s="36" t="n"/>
      <c r="J69" s="37" t="n"/>
    </row>
    <row r="70" ht="15" customHeight="1" s="62">
      <c r="A70" s="54" t="n"/>
      <c r="B70" s="33" t="n"/>
      <c r="C70" s="34" t="n"/>
      <c r="D70" s="34" t="n"/>
      <c r="E70" s="35" t="n"/>
      <c r="F70" s="35" t="n"/>
      <c r="G70" s="41" t="n"/>
      <c r="H70" s="34" t="n"/>
      <c r="I70" s="36" t="n"/>
      <c r="J70" s="37" t="n"/>
    </row>
    <row r="71" ht="15" customHeight="1" s="62">
      <c r="A71" s="54" t="n"/>
      <c r="B71" s="33" t="n"/>
      <c r="C71" s="34" t="n"/>
      <c r="D71" s="34" t="n"/>
      <c r="E71" s="35" t="n"/>
      <c r="F71" s="35" t="n"/>
      <c r="G71" s="41" t="n"/>
      <c r="H71" s="34" t="n"/>
      <c r="I71" s="36" t="n"/>
      <c r="J71" s="37" t="n"/>
    </row>
    <row r="72" ht="15" customHeight="1" s="62">
      <c r="A72" s="54" t="n"/>
      <c r="B72" s="33" t="n"/>
      <c r="C72" s="34" t="n"/>
      <c r="D72" s="34" t="n"/>
      <c r="E72" s="35" t="n"/>
      <c r="F72" s="35" t="n"/>
      <c r="G72" s="41" t="n"/>
      <c r="H72" s="34" t="n"/>
      <c r="I72" s="36" t="n"/>
      <c r="J72" s="37" t="n"/>
    </row>
    <row r="73" ht="15" customHeight="1" s="62">
      <c r="A73" s="54" t="n"/>
      <c r="B73" s="33" t="n"/>
      <c r="C73" s="34" t="n"/>
      <c r="D73" s="34" t="n"/>
      <c r="E73" s="35" t="n"/>
      <c r="F73" s="35" t="n"/>
      <c r="G73" s="41" t="n"/>
      <c r="H73" s="34" t="n"/>
      <c r="I73" s="36" t="n"/>
      <c r="J73" s="37" t="n"/>
    </row>
    <row r="74" ht="15" customHeight="1" s="62">
      <c r="A74" s="54" t="n"/>
      <c r="B74" s="33" t="n"/>
      <c r="C74" s="34" t="n"/>
      <c r="D74" s="34" t="n"/>
      <c r="E74" s="35" t="n"/>
      <c r="F74" s="35" t="n"/>
      <c r="G74" s="41" t="n"/>
      <c r="H74" s="34" t="n"/>
      <c r="I74" s="36" t="n"/>
      <c r="J74" s="37" t="n"/>
    </row>
    <row r="75" ht="15" customHeight="1" s="62">
      <c r="A75" s="54" t="n"/>
      <c r="B75" s="33" t="n"/>
      <c r="C75" s="34" t="n"/>
      <c r="D75" s="34" t="n"/>
      <c r="E75" s="35" t="n"/>
      <c r="F75" s="35" t="n"/>
      <c r="G75" s="41" t="n"/>
      <c r="H75" s="34" t="n"/>
      <c r="I75" s="36" t="n"/>
      <c r="J75" s="37" t="n"/>
    </row>
    <row r="76" ht="15" customHeight="1" s="62">
      <c r="A76" s="54" t="n"/>
      <c r="B76" s="33" t="n"/>
      <c r="C76" s="34" t="n"/>
      <c r="D76" s="34" t="n"/>
      <c r="E76" s="35" t="n"/>
      <c r="F76" s="35" t="n"/>
      <c r="G76" s="41" t="n"/>
      <c r="H76" s="34" t="n"/>
      <c r="I76" s="36" t="n"/>
      <c r="J76" s="37" t="n"/>
    </row>
    <row r="77" ht="15" customHeight="1" s="62">
      <c r="A77" s="54" t="n"/>
      <c r="B77" s="33" t="n"/>
      <c r="C77" s="34" t="n"/>
      <c r="D77" s="34" t="n"/>
      <c r="E77" s="35" t="n"/>
      <c r="F77" s="35" t="n"/>
      <c r="G77" s="41" t="n"/>
      <c r="H77" s="34" t="n"/>
      <c r="I77" s="36" t="n"/>
      <c r="J77" s="37" t="n"/>
    </row>
    <row r="78" ht="15" customHeight="1" s="62">
      <c r="A78" s="54" t="n"/>
      <c r="B78" s="33" t="n"/>
      <c r="C78" s="34" t="n"/>
      <c r="D78" s="34" t="n"/>
      <c r="E78" s="35" t="n"/>
      <c r="F78" s="35" t="n"/>
      <c r="G78" s="41" t="n"/>
      <c r="H78" s="34" t="n"/>
      <c r="I78" s="36" t="n"/>
      <c r="J78" s="37" t="n"/>
    </row>
    <row r="79" ht="15" customHeight="1" s="62">
      <c r="A79" s="54" t="n"/>
      <c r="B79" s="33" t="n"/>
      <c r="C79" s="34" t="n"/>
      <c r="D79" s="34" t="n"/>
      <c r="E79" s="35" t="n"/>
      <c r="F79" s="35" t="n"/>
      <c r="G79" s="41" t="n"/>
      <c r="H79" s="34" t="n"/>
      <c r="I79" s="36" t="n"/>
      <c r="J79" s="37" t="n"/>
    </row>
    <row r="80" ht="15" customHeight="1" s="62">
      <c r="A80" s="54" t="n"/>
      <c r="B80" s="33" t="n"/>
      <c r="C80" s="34" t="n"/>
      <c r="D80" s="34" t="n"/>
      <c r="E80" s="35" t="n"/>
      <c r="F80" s="35" t="n"/>
      <c r="G80" s="41" t="n"/>
      <c r="H80" s="34" t="n"/>
      <c r="I80" s="36" t="n"/>
      <c r="J80" s="37" t="n"/>
    </row>
    <row r="81" ht="15" customHeight="1" s="62">
      <c r="A81" s="54" t="n"/>
      <c r="B81" s="33" t="n"/>
      <c r="C81" s="34" t="n"/>
      <c r="D81" s="34" t="n"/>
      <c r="E81" s="35" t="n"/>
      <c r="F81" s="35" t="n"/>
      <c r="G81" s="41" t="n"/>
      <c r="H81" s="34" t="n"/>
      <c r="I81" s="36" t="n"/>
      <c r="J81" s="37" t="n"/>
    </row>
    <row r="82" ht="15" customHeight="1" s="62">
      <c r="A82" s="54" t="n"/>
      <c r="B82" s="33" t="n"/>
      <c r="C82" s="34" t="n"/>
      <c r="D82" s="34" t="n"/>
      <c r="E82" s="35" t="n"/>
      <c r="F82" s="35" t="n"/>
      <c r="G82" s="41" t="n"/>
      <c r="H82" s="34" t="n"/>
      <c r="I82" s="36" t="n"/>
      <c r="J82" s="37" t="n"/>
    </row>
    <row r="83" ht="15" customHeight="1" s="62">
      <c r="A83" s="54" t="n"/>
      <c r="B83" s="33" t="n"/>
      <c r="C83" s="34" t="n"/>
      <c r="D83" s="34" t="n"/>
      <c r="E83" s="35" t="n"/>
      <c r="F83" s="35" t="n"/>
      <c r="G83" s="41" t="n"/>
      <c r="H83" s="34" t="n"/>
      <c r="I83" s="36" t="n"/>
      <c r="J83" s="37" t="n"/>
    </row>
    <row r="84" ht="15" customHeight="1" s="62">
      <c r="A84" s="54" t="n"/>
      <c r="B84" s="33" t="n"/>
      <c r="C84" s="34" t="n"/>
      <c r="D84" s="34" t="n"/>
      <c r="E84" s="35" t="n"/>
      <c r="F84" s="35" t="n"/>
      <c r="G84" s="41" t="n"/>
      <c r="H84" s="34" t="n"/>
      <c r="I84" s="36" t="n"/>
      <c r="J84" s="37" t="n"/>
    </row>
    <row r="85" ht="15" customHeight="1" s="62">
      <c r="A85" s="54" t="n"/>
      <c r="B85" s="33" t="n"/>
      <c r="C85" s="34" t="n"/>
      <c r="D85" s="34" t="n"/>
      <c r="E85" s="35" t="n"/>
      <c r="F85" s="35" t="n"/>
      <c r="G85" s="41" t="n"/>
      <c r="H85" s="34" t="n"/>
      <c r="I85" s="36" t="n"/>
      <c r="J85" s="37" t="n"/>
    </row>
    <row r="86" ht="15" customHeight="1" s="62">
      <c r="A86" s="54" t="n"/>
      <c r="B86" s="33" t="n"/>
      <c r="C86" s="34" t="n"/>
      <c r="D86" s="34" t="n"/>
      <c r="E86" s="35" t="n"/>
      <c r="F86" s="35" t="n"/>
      <c r="G86" s="41" t="n"/>
      <c r="H86" s="34" t="n"/>
      <c r="I86" s="36" t="n"/>
      <c r="J86" s="37" t="n"/>
    </row>
    <row r="87" ht="15" customHeight="1" s="62">
      <c r="A87" s="54" t="n"/>
      <c r="B87" s="33" t="n"/>
      <c r="C87" s="34" t="n"/>
      <c r="D87" s="34" t="n"/>
      <c r="E87" s="35" t="n"/>
      <c r="F87" s="35" t="n"/>
      <c r="G87" s="41" t="n"/>
      <c r="H87" s="34" t="n"/>
      <c r="I87" s="36" t="n"/>
      <c r="J87" s="37" t="n"/>
    </row>
    <row r="88" ht="15" customHeight="1" s="62">
      <c r="A88" s="54" t="n"/>
      <c r="B88" s="33" t="n"/>
      <c r="C88" s="34" t="n"/>
      <c r="D88" s="34" t="n"/>
      <c r="E88" s="35" t="n"/>
      <c r="F88" s="35" t="n"/>
      <c r="G88" s="41" t="n"/>
      <c r="H88" s="34" t="n"/>
      <c r="I88" s="36" t="n"/>
      <c r="J88" s="37" t="n"/>
    </row>
    <row r="89" ht="15" customHeight="1" s="62">
      <c r="A89" s="54" t="n"/>
      <c r="B89" s="33" t="n"/>
      <c r="C89" s="34" t="n"/>
      <c r="D89" s="34" t="n"/>
      <c r="E89" s="35" t="n"/>
      <c r="F89" s="35" t="n"/>
      <c r="G89" s="41" t="n"/>
      <c r="H89" s="34" t="n"/>
      <c r="I89" s="36" t="n"/>
      <c r="J89" s="37" t="n"/>
    </row>
    <row r="90" ht="15" customHeight="1" s="62">
      <c r="A90" s="54" t="n"/>
      <c r="B90" s="33" t="n"/>
      <c r="C90" s="34" t="n"/>
      <c r="D90" s="34" t="n"/>
      <c r="E90" s="35" t="n"/>
      <c r="F90" s="35" t="n"/>
      <c r="G90" s="41" t="n"/>
      <c r="H90" s="34" t="n"/>
      <c r="I90" s="36" t="n"/>
      <c r="J90" s="37" t="n"/>
    </row>
    <row r="91" ht="15" customHeight="1" s="62">
      <c r="A91" s="54" t="n"/>
      <c r="B91" s="33" t="n"/>
      <c r="C91" s="34" t="n"/>
      <c r="D91" s="34" t="n"/>
      <c r="E91" s="35" t="n"/>
      <c r="F91" s="35" t="n"/>
      <c r="G91" s="41" t="n"/>
      <c r="H91" s="34" t="n"/>
      <c r="I91" s="36" t="n"/>
      <c r="J91" s="37" t="n"/>
    </row>
    <row r="92" ht="15" customHeight="1" s="62">
      <c r="A92" s="54" t="n"/>
      <c r="B92" s="33" t="n"/>
      <c r="C92" s="34" t="n"/>
      <c r="D92" s="34" t="n"/>
      <c r="E92" s="35" t="n"/>
      <c r="F92" s="35" t="n"/>
      <c r="G92" s="41" t="n"/>
      <c r="H92" s="34" t="n"/>
      <c r="I92" s="36" t="n"/>
      <c r="J92" s="37" t="n"/>
    </row>
    <row r="93" ht="15" customHeight="1" s="62">
      <c r="A93" s="54" t="n"/>
      <c r="B93" s="33" t="n"/>
      <c r="C93" s="34" t="n"/>
      <c r="D93" s="34" t="n"/>
      <c r="E93" s="35" t="n"/>
      <c r="F93" s="35" t="n"/>
      <c r="G93" s="41" t="n"/>
      <c r="H93" s="34" t="n"/>
      <c r="I93" s="36" t="n"/>
      <c r="J93" s="37" t="n"/>
    </row>
    <row r="94" ht="15" customHeight="1" s="62">
      <c r="A94" s="54" t="n"/>
      <c r="B94" s="33" t="n"/>
      <c r="C94" s="34" t="n"/>
      <c r="D94" s="34" t="n"/>
      <c r="E94" s="35" t="n"/>
      <c r="F94" s="35" t="n"/>
      <c r="G94" s="41" t="n"/>
      <c r="H94" s="34" t="n"/>
      <c r="I94" s="36" t="n"/>
      <c r="J94" s="37" t="n"/>
    </row>
    <row r="95" ht="15" customHeight="1" s="62">
      <c r="A95" s="54" t="n"/>
      <c r="B95" s="33" t="n"/>
      <c r="C95" s="34" t="n"/>
      <c r="D95" s="34" t="n"/>
      <c r="E95" s="35" t="n"/>
      <c r="F95" s="35" t="n"/>
      <c r="G95" s="41" t="n"/>
      <c r="H95" s="34" t="n"/>
      <c r="I95" s="36" t="n"/>
      <c r="J95" s="37" t="n"/>
    </row>
    <row r="96" ht="15" customHeight="1" s="62">
      <c r="A96" s="54" t="n"/>
      <c r="B96" s="33" t="n"/>
      <c r="C96" s="34" t="n"/>
      <c r="D96" s="34" t="n"/>
      <c r="E96" s="35" t="n"/>
      <c r="F96" s="35" t="n"/>
      <c r="G96" s="41" t="n"/>
      <c r="H96" s="34" t="n"/>
      <c r="I96" s="36" t="n"/>
      <c r="J96" s="37" t="n"/>
    </row>
    <row r="97" ht="15" customHeight="1" s="62">
      <c r="A97" s="54" t="n"/>
      <c r="B97" s="33" t="n"/>
      <c r="C97" s="34" t="n"/>
      <c r="D97" s="34" t="n"/>
      <c r="E97" s="35" t="n"/>
      <c r="F97" s="35" t="n"/>
      <c r="G97" s="41" t="n"/>
      <c r="H97" s="34" t="n"/>
      <c r="I97" s="36" t="n"/>
      <c r="J97" s="37" t="n"/>
    </row>
    <row r="98" ht="15" customHeight="1" s="62">
      <c r="A98" s="54" t="n"/>
      <c r="B98" s="33" t="n"/>
      <c r="C98" s="34" t="n"/>
      <c r="D98" s="34" t="n"/>
      <c r="E98" s="35" t="n"/>
      <c r="F98" s="35" t="n"/>
      <c r="G98" s="41" t="n"/>
      <c r="H98" s="34" t="n"/>
      <c r="I98" s="36" t="n"/>
      <c r="J98" s="37" t="n"/>
    </row>
    <row r="99" ht="15" customHeight="1" s="62">
      <c r="A99" s="54" t="n"/>
      <c r="B99" s="33" t="n"/>
      <c r="C99" s="34" t="n"/>
      <c r="D99" s="34" t="n"/>
      <c r="E99" s="35" t="n"/>
      <c r="F99" s="35" t="n"/>
      <c r="G99" s="41" t="n"/>
      <c r="H99" s="34" t="n"/>
      <c r="I99" s="36" t="n"/>
      <c r="J99" s="37" t="n"/>
    </row>
    <row r="100" ht="15" customHeight="1" s="62">
      <c r="A100" s="54" t="n"/>
      <c r="B100" s="33" t="n"/>
      <c r="C100" s="34" t="n"/>
      <c r="D100" s="34" t="n"/>
      <c r="E100" s="35" t="n"/>
      <c r="F100" s="35" t="n"/>
      <c r="G100" s="41" t="n"/>
      <c r="H100" s="34" t="n"/>
      <c r="I100" s="36" t="n"/>
      <c r="J100" s="37" t="n"/>
    </row>
    <row r="101" ht="15" customHeight="1" s="62">
      <c r="A101" s="54" t="n"/>
      <c r="B101" s="33" t="n"/>
      <c r="C101" s="34" t="n"/>
      <c r="D101" s="34" t="n"/>
      <c r="E101" s="35" t="n"/>
      <c r="F101" s="35" t="n"/>
      <c r="G101" s="41" t="n"/>
      <c r="H101" s="34" t="n"/>
      <c r="I101" s="36" t="n"/>
      <c r="J101" s="37" t="n"/>
    </row>
    <row r="102" ht="15" customHeight="1" s="62">
      <c r="A102" s="54" t="n"/>
      <c r="B102" s="33" t="n"/>
      <c r="C102" s="34" t="n"/>
      <c r="D102" s="34" t="n"/>
      <c r="E102" s="35" t="n"/>
      <c r="F102" s="35" t="n"/>
      <c r="G102" s="41" t="n"/>
      <c r="H102" s="34" t="n"/>
      <c r="I102" s="36" t="n"/>
      <c r="J102" s="37" t="n"/>
    </row>
    <row r="103" ht="15" customHeight="1" s="62">
      <c r="A103" s="54" t="n"/>
      <c r="B103" s="33" t="n"/>
      <c r="C103" s="34" t="n"/>
      <c r="D103" s="34" t="n"/>
      <c r="E103" s="35" t="n"/>
      <c r="F103" s="35" t="n"/>
      <c r="G103" s="41" t="n"/>
      <c r="H103" s="34" t="n"/>
      <c r="I103" s="36" t="n"/>
      <c r="J103" s="37" t="n"/>
    </row>
    <row r="104" ht="15" customHeight="1" s="62">
      <c r="A104" s="54" t="n"/>
      <c r="B104" s="33" t="n"/>
      <c r="C104" s="34" t="n"/>
      <c r="D104" s="34" t="n"/>
      <c r="E104" s="35" t="n"/>
      <c r="F104" s="35" t="n"/>
      <c r="G104" s="41" t="n"/>
      <c r="H104" s="34" t="n"/>
      <c r="I104" s="36" t="n"/>
      <c r="J104" s="37" t="n"/>
    </row>
    <row r="105" ht="15" customHeight="1" s="62">
      <c r="A105" s="54" t="n"/>
      <c r="B105" s="33" t="n"/>
      <c r="C105" s="34" t="n"/>
      <c r="D105" s="34" t="n"/>
      <c r="E105" s="35" t="n"/>
      <c r="F105" s="35" t="n"/>
      <c r="G105" s="41" t="n"/>
      <c r="H105" s="34" t="n"/>
      <c r="I105" s="36" t="n"/>
      <c r="J105" s="37" t="n"/>
    </row>
    <row r="106" ht="15" customHeight="1" s="62">
      <c r="A106" s="54" t="n"/>
      <c r="B106" s="33" t="n"/>
      <c r="C106" s="34" t="n"/>
      <c r="D106" s="34" t="n"/>
      <c r="E106" s="35" t="n"/>
      <c r="F106" s="35" t="n"/>
      <c r="G106" s="41" t="n"/>
      <c r="H106" s="34" t="n"/>
      <c r="I106" s="36" t="n"/>
      <c r="J106" s="37" t="n"/>
    </row>
    <row r="107" ht="15" customHeight="1" s="62">
      <c r="A107" s="54" t="n"/>
      <c r="B107" s="33" t="n"/>
      <c r="C107" s="34" t="n"/>
      <c r="D107" s="34" t="n"/>
      <c r="E107" s="35" t="n"/>
      <c r="F107" s="35" t="n"/>
      <c r="G107" s="41" t="n"/>
      <c r="H107" s="34" t="n"/>
      <c r="I107" s="36" t="n"/>
      <c r="J107" s="37" t="n"/>
    </row>
    <row r="108" ht="15" customHeight="1" s="62">
      <c r="A108" s="54" t="n"/>
      <c r="B108" s="33" t="n"/>
      <c r="C108" s="34" t="n"/>
      <c r="D108" s="34" t="n"/>
      <c r="E108" s="35" t="n"/>
      <c r="F108" s="35" t="n"/>
      <c r="G108" s="41" t="n"/>
      <c r="H108" s="34" t="n"/>
      <c r="I108" s="36" t="n"/>
      <c r="J108" s="37" t="n"/>
    </row>
    <row r="109" ht="15" customHeight="1" s="62">
      <c r="A109" s="54" t="n"/>
      <c r="B109" s="33" t="n"/>
      <c r="C109" s="34" t="n"/>
      <c r="D109" s="34" t="n"/>
      <c r="E109" s="35" t="n"/>
      <c r="F109" s="35" t="n"/>
      <c r="G109" s="41" t="n"/>
      <c r="H109" s="34" t="n"/>
      <c r="I109" s="36" t="n"/>
      <c r="J109" s="37" t="n"/>
    </row>
    <row r="110" ht="15" customHeight="1" s="62">
      <c r="A110" s="54" t="n"/>
      <c r="B110" s="33" t="n"/>
      <c r="C110" s="34" t="n"/>
      <c r="D110" s="34" t="n"/>
      <c r="E110" s="35" t="n"/>
      <c r="F110" s="35" t="n"/>
      <c r="G110" s="41" t="n"/>
      <c r="H110" s="34" t="n"/>
      <c r="I110" s="36" t="n"/>
      <c r="J110" s="37" t="n"/>
    </row>
    <row r="111" ht="15" customHeight="1" s="62">
      <c r="A111" s="54" t="n"/>
      <c r="B111" s="33" t="n"/>
      <c r="C111" s="34" t="n"/>
      <c r="D111" s="34" t="n"/>
      <c r="E111" s="35" t="n"/>
      <c r="F111" s="35" t="n"/>
      <c r="G111" s="41" t="n"/>
      <c r="H111" s="34" t="n"/>
      <c r="I111" s="36" t="n"/>
      <c r="J111" s="37" t="n"/>
    </row>
    <row r="112" ht="15" customHeight="1" s="62">
      <c r="A112" s="54" t="n"/>
      <c r="B112" s="33" t="n"/>
      <c r="C112" s="34" t="n"/>
      <c r="D112" s="34" t="n"/>
      <c r="E112" s="35" t="n"/>
      <c r="F112" s="35" t="n"/>
      <c r="G112" s="41" t="n"/>
      <c r="H112" s="34" t="n"/>
      <c r="I112" s="36" t="n"/>
      <c r="J112" s="37" t="n"/>
    </row>
    <row r="113" ht="15" customHeight="1" s="62">
      <c r="A113" s="54" t="n"/>
      <c r="B113" s="33" t="n"/>
      <c r="C113" s="34" t="n"/>
      <c r="D113" s="34" t="n"/>
      <c r="E113" s="35" t="n"/>
      <c r="F113" s="35" t="n"/>
      <c r="G113" s="41" t="n"/>
      <c r="H113" s="34" t="n"/>
      <c r="I113" s="36" t="n"/>
      <c r="J113" s="37" t="n"/>
    </row>
    <row r="114" ht="15" customHeight="1" s="62">
      <c r="A114" s="54" t="n"/>
      <c r="B114" s="33" t="n"/>
      <c r="C114" s="34" t="n"/>
      <c r="D114" s="34" t="n"/>
      <c r="E114" s="35" t="n"/>
      <c r="F114" s="35" t="n"/>
      <c r="G114" s="41" t="n"/>
      <c r="H114" s="34" t="n"/>
      <c r="I114" s="36" t="n"/>
      <c r="J114" s="37" t="n"/>
    </row>
    <row r="115" ht="15" customHeight="1" s="62">
      <c r="A115" s="54" t="n"/>
      <c r="B115" s="33" t="n"/>
      <c r="C115" s="34" t="n"/>
      <c r="D115" s="34" t="n"/>
      <c r="E115" s="35" t="n"/>
      <c r="F115" s="35" t="n"/>
      <c r="G115" s="41" t="n"/>
      <c r="H115" s="34" t="n"/>
      <c r="I115" s="36" t="n"/>
      <c r="J115" s="37" t="n"/>
    </row>
    <row r="116" ht="15" customHeight="1" s="62">
      <c r="A116" s="54" t="n"/>
      <c r="B116" s="33" t="n"/>
      <c r="C116" s="34" t="n"/>
      <c r="D116" s="34" t="n"/>
      <c r="E116" s="35" t="n"/>
      <c r="F116" s="35" t="n"/>
      <c r="G116" s="41" t="n"/>
      <c r="H116" s="34" t="n"/>
      <c r="I116" s="36" t="n"/>
      <c r="J116" s="37" t="n"/>
    </row>
    <row r="117" ht="15" customHeight="1" s="62">
      <c r="A117" s="54" t="n"/>
      <c r="B117" s="33" t="n"/>
      <c r="C117" s="34" t="n"/>
      <c r="D117" s="34" t="n"/>
      <c r="E117" s="35" t="n"/>
      <c r="F117" s="35" t="n"/>
      <c r="G117" s="41" t="n"/>
      <c r="H117" s="34" t="n"/>
      <c r="I117" s="36" t="n"/>
      <c r="J117" s="37" t="n"/>
    </row>
    <row r="118" ht="15" customHeight="1" s="62">
      <c r="A118" s="54" t="n"/>
      <c r="B118" s="33" t="n"/>
      <c r="C118" s="34" t="n"/>
      <c r="D118" s="34" t="n"/>
      <c r="E118" s="35" t="n"/>
      <c r="F118" s="35" t="n"/>
      <c r="G118" s="41" t="n"/>
      <c r="H118" s="34" t="n"/>
      <c r="I118" s="36" t="n"/>
      <c r="J118" s="37" t="n"/>
    </row>
    <row r="119" ht="15" customHeight="1" s="62">
      <c r="A119" s="54" t="n"/>
      <c r="B119" s="33" t="n"/>
      <c r="C119" s="34" t="n"/>
      <c r="D119" s="34" t="n"/>
      <c r="E119" s="35" t="n"/>
      <c r="F119" s="35" t="n"/>
      <c r="G119" s="41" t="n"/>
      <c r="H119" s="34" t="n"/>
      <c r="I119" s="36" t="n"/>
      <c r="J119" s="37" t="n"/>
    </row>
    <row r="120" ht="15" customHeight="1" s="62">
      <c r="A120" s="54" t="n"/>
      <c r="B120" s="33" t="n"/>
      <c r="C120" s="34" t="n"/>
      <c r="D120" s="34" t="n"/>
      <c r="E120" s="35" t="n"/>
      <c r="F120" s="35" t="n"/>
      <c r="G120" s="41" t="n"/>
      <c r="H120" s="34" t="n"/>
      <c r="I120" s="36" t="n"/>
      <c r="J120" s="37" t="n"/>
    </row>
    <row r="121" ht="15" customHeight="1" s="62">
      <c r="A121" s="54" t="n"/>
      <c r="B121" s="33" t="n"/>
      <c r="C121" s="34" t="n"/>
      <c r="D121" s="34" t="n"/>
      <c r="E121" s="35" t="n"/>
      <c r="F121" s="35" t="n"/>
      <c r="G121" s="41" t="n"/>
      <c r="H121" s="34" t="n"/>
      <c r="I121" s="36" t="n"/>
      <c r="J121" s="37" t="n"/>
    </row>
    <row r="122" ht="15" customHeight="1" s="62">
      <c r="A122" s="54" t="n"/>
      <c r="B122" s="33" t="n"/>
      <c r="C122" s="34" t="n"/>
      <c r="D122" s="34" t="n"/>
      <c r="E122" s="35" t="n"/>
      <c r="F122" s="35" t="n"/>
      <c r="G122" s="41" t="n"/>
      <c r="H122" s="34" t="n"/>
      <c r="I122" s="36" t="n"/>
      <c r="J122" s="37" t="n"/>
    </row>
    <row r="123" ht="15" customHeight="1" s="62">
      <c r="A123" s="54" t="n"/>
      <c r="B123" s="33" t="n"/>
      <c r="C123" s="34" t="n"/>
      <c r="D123" s="34" t="n"/>
      <c r="E123" s="35" t="n"/>
      <c r="F123" s="35" t="n"/>
      <c r="G123" s="41" t="n"/>
      <c r="H123" s="34" t="n"/>
      <c r="I123" s="36" t="n"/>
      <c r="J123" s="37" t="n"/>
    </row>
    <row r="124" ht="15" customHeight="1" s="62">
      <c r="A124" s="54" t="n"/>
      <c r="B124" s="33" t="n"/>
      <c r="C124" s="34" t="n"/>
      <c r="D124" s="34" t="n"/>
      <c r="E124" s="35" t="n"/>
      <c r="F124" s="35" t="n"/>
      <c r="G124" s="41" t="n"/>
      <c r="H124" s="34" t="n"/>
      <c r="I124" s="36" t="n"/>
      <c r="J124" s="37" t="n"/>
    </row>
    <row r="125" ht="15" customHeight="1" s="62">
      <c r="A125" s="54" t="n"/>
      <c r="B125" s="33" t="n"/>
      <c r="C125" s="34" t="n"/>
      <c r="D125" s="34" t="n"/>
      <c r="E125" s="35" t="n"/>
      <c r="F125" s="35" t="n"/>
      <c r="G125" s="41" t="n"/>
      <c r="H125" s="34" t="n"/>
      <c r="I125" s="36" t="n"/>
      <c r="J125" s="37" t="n"/>
    </row>
    <row r="126" ht="15" customHeight="1" s="62">
      <c r="A126" s="54" t="n"/>
      <c r="B126" s="33" t="n"/>
      <c r="C126" s="34" t="n"/>
      <c r="D126" s="34" t="n"/>
      <c r="E126" s="35" t="n"/>
      <c r="F126" s="35" t="n"/>
      <c r="G126" s="41" t="n"/>
      <c r="H126" s="34" t="n"/>
      <c r="I126" s="36" t="n"/>
      <c r="J126" s="37" t="n"/>
    </row>
    <row r="127" ht="15" customHeight="1" s="62">
      <c r="A127" s="54" t="n"/>
      <c r="B127" s="33" t="n"/>
      <c r="C127" s="34" t="n"/>
      <c r="D127" s="34" t="n"/>
      <c r="E127" s="35" t="n"/>
      <c r="F127" s="35" t="n"/>
      <c r="G127" s="41" t="n"/>
      <c r="H127" s="34" t="n"/>
      <c r="I127" s="36" t="n"/>
      <c r="J127" s="37" t="n"/>
    </row>
    <row r="128" ht="15" customHeight="1" s="62">
      <c r="A128" s="54" t="n"/>
      <c r="B128" s="33" t="n"/>
      <c r="C128" s="34" t="n"/>
      <c r="D128" s="34" t="n"/>
      <c r="E128" s="35" t="n"/>
      <c r="F128" s="35" t="n"/>
      <c r="G128" s="41" t="n"/>
      <c r="H128" s="34" t="n"/>
      <c r="I128" s="36" t="n"/>
      <c r="J128" s="37" t="n"/>
    </row>
    <row r="129" ht="15" customHeight="1" s="62">
      <c r="A129" s="54" t="n"/>
      <c r="B129" s="33" t="n"/>
      <c r="C129" s="34" t="n"/>
      <c r="D129" s="34" t="n"/>
      <c r="E129" s="35" t="n"/>
      <c r="F129" s="35" t="n"/>
      <c r="G129" s="41" t="n"/>
      <c r="H129" s="34" t="n"/>
      <c r="I129" s="36" t="n"/>
      <c r="J129" s="37" t="n"/>
    </row>
    <row r="130" ht="15" customHeight="1" s="62">
      <c r="A130" s="54" t="n"/>
      <c r="B130" s="33" t="n"/>
      <c r="C130" s="34" t="n"/>
      <c r="D130" s="34" t="n"/>
      <c r="E130" s="35" t="n"/>
      <c r="F130" s="35" t="n"/>
      <c r="G130" s="41" t="n"/>
      <c r="H130" s="34" t="n"/>
      <c r="I130" s="36" t="n"/>
      <c r="J130" s="37" t="n"/>
    </row>
    <row r="131" ht="15" customHeight="1" s="62">
      <c r="A131" s="54" t="n"/>
      <c r="B131" s="33" t="n"/>
      <c r="C131" s="34" t="n"/>
      <c r="D131" s="34" t="n"/>
      <c r="E131" s="35" t="n"/>
      <c r="F131" s="35" t="n"/>
      <c r="G131" s="41" t="n"/>
      <c r="H131" s="34" t="n"/>
      <c r="I131" s="36" t="n"/>
      <c r="J131" s="37" t="n"/>
    </row>
    <row r="132" ht="15" customHeight="1" s="62">
      <c r="A132" s="54" t="n"/>
      <c r="B132" s="33" t="n"/>
      <c r="C132" s="34" t="n"/>
      <c r="D132" s="34" t="n"/>
      <c r="E132" s="35" t="n"/>
      <c r="F132" s="35" t="n"/>
      <c r="G132" s="41" t="n"/>
      <c r="H132" s="34" t="n"/>
      <c r="I132" s="36" t="n"/>
      <c r="J132" s="37" t="n"/>
    </row>
    <row r="133" ht="15" customHeight="1" s="62">
      <c r="A133" s="54" t="n"/>
      <c r="B133" s="33" t="n"/>
      <c r="C133" s="34" t="n"/>
      <c r="D133" s="34" t="n"/>
      <c r="E133" s="35" t="n"/>
      <c r="F133" s="35" t="n"/>
      <c r="G133" s="41" t="n"/>
      <c r="H133" s="34" t="n"/>
      <c r="I133" s="36" t="n"/>
      <c r="J133" s="37" t="n"/>
    </row>
    <row r="134" ht="15" customHeight="1" s="62">
      <c r="A134" s="54" t="n"/>
      <c r="B134" s="33" t="n"/>
      <c r="C134" s="34" t="n"/>
      <c r="D134" s="34" t="n"/>
      <c r="E134" s="35" t="n"/>
      <c r="F134" s="35" t="n"/>
      <c r="G134" s="41" t="n"/>
      <c r="H134" s="34" t="n"/>
      <c r="I134" s="36" t="n"/>
      <c r="J134" s="37" t="n"/>
    </row>
    <row r="135" ht="15" customHeight="1" s="62">
      <c r="A135" s="54" t="n"/>
      <c r="B135" s="33" t="n"/>
      <c r="C135" s="34" t="n"/>
      <c r="D135" s="34" t="n"/>
      <c r="E135" s="35" t="n"/>
      <c r="F135" s="35" t="n"/>
      <c r="G135" s="41" t="n"/>
      <c r="H135" s="34" t="n"/>
      <c r="I135" s="36" t="n"/>
      <c r="J135" s="37" t="n"/>
    </row>
    <row r="136" ht="15" customHeight="1" s="62">
      <c r="A136" s="54" t="n"/>
      <c r="B136" s="33" t="n"/>
      <c r="C136" s="34" t="n"/>
      <c r="D136" s="34" t="n"/>
      <c r="E136" s="35" t="n"/>
      <c r="F136" s="35" t="n"/>
      <c r="G136" s="41" t="n"/>
      <c r="H136" s="34" t="n"/>
      <c r="I136" s="36" t="n"/>
      <c r="J136" s="37" t="n"/>
    </row>
    <row r="137" ht="15" customHeight="1" s="62">
      <c r="A137" s="54" t="n"/>
      <c r="B137" s="33" t="n"/>
      <c r="C137" s="34" t="n"/>
      <c r="D137" s="34" t="n"/>
      <c r="E137" s="35" t="n"/>
      <c r="F137" s="35" t="n"/>
      <c r="G137" s="41" t="n"/>
      <c r="H137" s="34" t="n"/>
      <c r="I137" s="36" t="n"/>
      <c r="J137" s="37" t="n"/>
    </row>
    <row r="138" ht="15" customHeight="1" s="62">
      <c r="A138" s="54" t="n"/>
      <c r="B138" s="33" t="n"/>
      <c r="C138" s="34" t="n"/>
      <c r="D138" s="34" t="n"/>
      <c r="E138" s="35" t="n"/>
      <c r="F138" s="35" t="n"/>
      <c r="G138" s="41" t="n"/>
      <c r="H138" s="34" t="n"/>
      <c r="I138" s="36" t="n"/>
      <c r="J138" s="37" t="n"/>
    </row>
    <row r="139" ht="15" customHeight="1" s="62">
      <c r="A139" s="54" t="n"/>
      <c r="B139" s="33" t="n"/>
      <c r="C139" s="34" t="n"/>
      <c r="D139" s="34" t="n"/>
      <c r="E139" s="35" t="n"/>
      <c r="F139" s="35" t="n"/>
      <c r="G139" s="41" t="n"/>
      <c r="H139" s="34" t="n"/>
      <c r="I139" s="36" t="n"/>
      <c r="J139" s="37" t="n"/>
    </row>
    <row r="140" ht="15" customHeight="1" s="62">
      <c r="A140" s="54" t="n"/>
      <c r="B140" s="33" t="n"/>
      <c r="C140" s="34" t="n"/>
      <c r="D140" s="34" t="n"/>
      <c r="E140" s="35" t="n"/>
      <c r="F140" s="35" t="n"/>
      <c r="G140" s="41" t="n"/>
      <c r="H140" s="34" t="n"/>
      <c r="I140" s="36" t="n"/>
      <c r="J140" s="37" t="n"/>
    </row>
    <row r="141" ht="15" customHeight="1" s="62">
      <c r="A141" s="54" t="n"/>
      <c r="B141" s="33" t="n"/>
      <c r="C141" s="34" t="n"/>
      <c r="D141" s="34" t="n"/>
      <c r="E141" s="35" t="n"/>
      <c r="F141" s="35" t="n"/>
      <c r="G141" s="41" t="n"/>
      <c r="H141" s="34" t="n"/>
      <c r="I141" s="36" t="n"/>
      <c r="J141" s="37" t="n"/>
    </row>
    <row r="142" ht="15" customHeight="1" s="62">
      <c r="A142" s="54" t="n"/>
      <c r="B142" s="33" t="n"/>
      <c r="C142" s="34" t="n"/>
      <c r="D142" s="34" t="n"/>
      <c r="E142" s="35" t="n"/>
      <c r="F142" s="35" t="n"/>
      <c r="G142" s="41" t="n"/>
      <c r="H142" s="34" t="n"/>
      <c r="I142" s="36" t="n"/>
      <c r="J142" s="37" t="n"/>
    </row>
    <row r="143" ht="15" customHeight="1" s="62">
      <c r="A143" s="54" t="n"/>
      <c r="B143" s="33" t="n"/>
      <c r="C143" s="34" t="n"/>
      <c r="D143" s="34" t="n"/>
      <c r="E143" s="35" t="n"/>
      <c r="F143" s="35" t="n"/>
      <c r="G143" s="41" t="n"/>
      <c r="H143" s="34" t="n"/>
      <c r="I143" s="36" t="n"/>
      <c r="J143" s="37" t="n"/>
    </row>
    <row r="144" ht="15" customHeight="1" s="62">
      <c r="A144" s="54" t="n"/>
      <c r="B144" s="33" t="n"/>
      <c r="C144" s="34" t="n"/>
      <c r="D144" s="34" t="n"/>
      <c r="E144" s="35" t="n"/>
      <c r="F144" s="35" t="n"/>
      <c r="G144" s="41" t="n"/>
      <c r="H144" s="34" t="n"/>
      <c r="I144" s="36" t="n"/>
      <c r="J144" s="37" t="n"/>
    </row>
    <row r="145" ht="15" customHeight="1" s="62">
      <c r="A145" s="54" t="n"/>
      <c r="B145" s="33" t="n"/>
      <c r="C145" s="34" t="n"/>
      <c r="D145" s="34" t="n"/>
      <c r="E145" s="35" t="n"/>
      <c r="F145" s="35" t="n"/>
      <c r="G145" s="41" t="n"/>
      <c r="H145" s="34" t="n"/>
      <c r="I145" s="36" t="n"/>
      <c r="J145" s="37" t="n"/>
    </row>
    <row r="146" ht="15" customHeight="1" s="62">
      <c r="A146" s="54" t="n"/>
      <c r="B146" s="33" t="n"/>
      <c r="C146" s="34" t="n"/>
      <c r="D146" s="34" t="n"/>
      <c r="E146" s="35" t="n"/>
      <c r="F146" s="35" t="n"/>
      <c r="G146" s="41" t="n"/>
      <c r="H146" s="34" t="n"/>
      <c r="I146" s="36" t="n"/>
      <c r="J146" s="37" t="n"/>
    </row>
    <row r="147" ht="15" customHeight="1" s="62">
      <c r="A147" s="54" t="n"/>
      <c r="B147" s="33" t="n"/>
      <c r="C147" s="34" t="n"/>
      <c r="D147" s="34" t="n"/>
      <c r="E147" s="35" t="n"/>
      <c r="F147" s="35" t="n"/>
      <c r="G147" s="41" t="n"/>
      <c r="H147" s="34" t="n"/>
      <c r="I147" s="36" t="n"/>
      <c r="J147" s="37" t="n"/>
    </row>
    <row r="148" ht="15" customHeight="1" s="62">
      <c r="A148" s="54" t="n"/>
      <c r="B148" s="33" t="n"/>
      <c r="C148" s="34" t="n"/>
      <c r="D148" s="34" t="n"/>
      <c r="E148" s="35" t="n"/>
      <c r="F148" s="35" t="n"/>
      <c r="G148" s="41" t="n"/>
      <c r="H148" s="34" t="n"/>
      <c r="I148" s="36" t="n"/>
      <c r="J148" s="37" t="n"/>
    </row>
    <row r="149" ht="15" customHeight="1" s="62">
      <c r="A149" s="54" t="n"/>
      <c r="B149" s="33" t="n"/>
      <c r="C149" s="34" t="n"/>
      <c r="D149" s="34" t="n"/>
      <c r="E149" s="35" t="n"/>
      <c r="F149" s="35" t="n"/>
      <c r="G149" s="41" t="n"/>
      <c r="H149" s="34" t="n"/>
      <c r="I149" s="36" t="n"/>
      <c r="J149" s="37" t="n"/>
    </row>
    <row r="150" ht="15" customHeight="1" s="62">
      <c r="A150" s="54" t="n"/>
      <c r="B150" s="33" t="n"/>
      <c r="C150" s="34" t="n"/>
      <c r="D150" s="34" t="n"/>
      <c r="E150" s="35" t="n"/>
      <c r="F150" s="35" t="n"/>
      <c r="G150" s="41" t="n"/>
      <c r="H150" s="34" t="n"/>
      <c r="I150" s="36" t="n"/>
      <c r="J150" s="37" t="n"/>
    </row>
    <row r="151" ht="15" customHeight="1" s="62">
      <c r="A151" s="54" t="n"/>
      <c r="B151" s="33" t="n"/>
      <c r="C151" s="34" t="n"/>
      <c r="D151" s="34" t="n"/>
      <c r="E151" s="35" t="n"/>
      <c r="F151" s="35" t="n"/>
      <c r="G151" s="41" t="n"/>
      <c r="H151" s="34" t="n"/>
      <c r="I151" s="36" t="n"/>
      <c r="J151" s="37" t="n"/>
    </row>
    <row r="152" ht="15" customHeight="1" s="62">
      <c r="A152" s="54" t="n"/>
      <c r="B152" s="33" t="n"/>
      <c r="C152" s="34" t="n"/>
      <c r="D152" s="34" t="n"/>
      <c r="E152" s="35" t="n"/>
      <c r="F152" s="35" t="n"/>
      <c r="G152" s="41" t="n"/>
      <c r="H152" s="34" t="n"/>
      <c r="I152" s="36" t="n"/>
      <c r="J152" s="37" t="n"/>
    </row>
    <row r="153" ht="15" customHeight="1" s="62">
      <c r="A153" s="54" t="n"/>
      <c r="B153" s="33" t="n"/>
      <c r="C153" s="34" t="n"/>
      <c r="D153" s="34" t="n"/>
      <c r="E153" s="35" t="n"/>
      <c r="F153" s="35" t="n"/>
      <c r="G153" s="41" t="n"/>
      <c r="H153" s="34" t="n"/>
      <c r="I153" s="36" t="n"/>
      <c r="J153" s="37" t="n"/>
    </row>
    <row r="154" ht="15" customHeight="1" s="62">
      <c r="A154" s="54" t="n"/>
      <c r="B154" s="33" t="n"/>
      <c r="C154" s="34" t="n"/>
      <c r="D154" s="34" t="n"/>
      <c r="E154" s="35" t="n"/>
      <c r="F154" s="35" t="n"/>
      <c r="G154" s="41" t="n"/>
      <c r="H154" s="34" t="n"/>
      <c r="I154" s="36" t="n"/>
      <c r="J154" s="37" t="n"/>
    </row>
    <row r="155" ht="15" customHeight="1" s="62">
      <c r="A155" s="54" t="n"/>
      <c r="B155" s="33" t="n"/>
      <c r="C155" s="34" t="n"/>
      <c r="D155" s="34" t="n"/>
      <c r="E155" s="35" t="n"/>
      <c r="F155" s="35" t="n"/>
      <c r="G155" s="41" t="n"/>
      <c r="H155" s="34" t="n"/>
      <c r="I155" s="36" t="n"/>
      <c r="J155" s="37" t="n"/>
    </row>
    <row r="156" ht="15" customHeight="1" s="62">
      <c r="A156" s="54" t="n"/>
      <c r="B156" s="33" t="n"/>
      <c r="C156" s="34" t="n"/>
      <c r="D156" s="34" t="n"/>
      <c r="E156" s="35" t="n"/>
      <c r="F156" s="35" t="n"/>
      <c r="G156" s="41" t="n"/>
      <c r="H156" s="34" t="n"/>
      <c r="I156" s="36" t="n"/>
      <c r="J156" s="37" t="n"/>
    </row>
    <row r="157" ht="15" customHeight="1" s="62">
      <c r="A157" s="54" t="n"/>
      <c r="B157" s="33" t="n"/>
      <c r="C157" s="34" t="n"/>
      <c r="D157" s="34" t="n"/>
      <c r="E157" s="35" t="n"/>
      <c r="F157" s="35" t="n"/>
      <c r="G157" s="41" t="n"/>
      <c r="H157" s="34" t="n"/>
      <c r="I157" s="36" t="n"/>
      <c r="J157" s="37" t="n"/>
    </row>
    <row r="158" ht="15" customHeight="1" s="62">
      <c r="A158" s="54" t="n"/>
      <c r="B158" s="33" t="n"/>
      <c r="C158" s="34" t="n"/>
      <c r="D158" s="34" t="n"/>
      <c r="E158" s="35" t="n"/>
      <c r="F158" s="35" t="n"/>
      <c r="G158" s="41" t="n"/>
      <c r="H158" s="34" t="n"/>
      <c r="I158" s="36" t="n"/>
      <c r="J158" s="37" t="n"/>
    </row>
    <row r="159" ht="15" customHeight="1" s="62">
      <c r="A159" s="54" t="n"/>
      <c r="B159" s="33" t="n"/>
      <c r="C159" s="34" t="n"/>
      <c r="D159" s="34" t="n"/>
      <c r="E159" s="35" t="n"/>
      <c r="F159" s="35" t="n"/>
      <c r="G159" s="41" t="n"/>
      <c r="H159" s="34" t="n"/>
      <c r="I159" s="36" t="n"/>
      <c r="J159" s="37" t="n"/>
    </row>
    <row r="160" ht="15" customHeight="1" s="62">
      <c r="A160" s="54" t="n"/>
      <c r="B160" s="33" t="n"/>
      <c r="C160" s="34" t="n"/>
      <c r="D160" s="34" t="n"/>
      <c r="E160" s="35" t="n"/>
      <c r="F160" s="35" t="n"/>
      <c r="G160" s="41" t="n"/>
      <c r="H160" s="34" t="n"/>
      <c r="I160" s="36" t="n"/>
      <c r="J160" s="37" t="n"/>
    </row>
    <row r="161" ht="15" customHeight="1" s="62">
      <c r="A161" s="54" t="n"/>
      <c r="B161" s="33" t="n"/>
      <c r="C161" s="34" t="n"/>
      <c r="D161" s="34" t="n"/>
      <c r="E161" s="35" t="n"/>
      <c r="F161" s="35" t="n"/>
      <c r="G161" s="41" t="n"/>
      <c r="H161" s="34" t="n"/>
      <c r="I161" s="36" t="n"/>
      <c r="J161" s="37" t="n"/>
    </row>
    <row r="162" ht="15" customHeight="1" s="62">
      <c r="A162" s="54" t="n"/>
      <c r="B162" s="33" t="n"/>
      <c r="C162" s="34" t="n"/>
      <c r="D162" s="34" t="n"/>
      <c r="E162" s="35" t="n"/>
      <c r="F162" s="35" t="n"/>
      <c r="G162" s="41" t="n"/>
      <c r="H162" s="34" t="n"/>
      <c r="I162" s="36" t="n"/>
      <c r="J162" s="37" t="n"/>
    </row>
    <row r="163" ht="15" customHeight="1" s="62">
      <c r="A163" s="54" t="n"/>
      <c r="B163" s="33" t="n"/>
      <c r="C163" s="34" t="n"/>
      <c r="D163" s="34" t="n"/>
      <c r="E163" s="35" t="n"/>
      <c r="F163" s="35" t="n"/>
      <c r="G163" s="41" t="n"/>
      <c r="H163" s="34" t="n"/>
      <c r="I163" s="36" t="n"/>
      <c r="J163" s="37" t="n"/>
    </row>
    <row r="164" ht="15" customHeight="1" s="62">
      <c r="A164" s="54" t="n"/>
      <c r="B164" s="33" t="n"/>
      <c r="C164" s="34" t="n"/>
      <c r="D164" s="34" t="n"/>
      <c r="E164" s="35" t="n"/>
      <c r="F164" s="35" t="n"/>
      <c r="G164" s="41" t="n"/>
      <c r="H164" s="34" t="n"/>
      <c r="I164" s="36" t="n"/>
      <c r="J164" s="37" t="n"/>
    </row>
    <row r="165" ht="15" customHeight="1" s="62">
      <c r="A165" s="54" t="n"/>
      <c r="B165" s="33" t="n"/>
      <c r="C165" s="34" t="n"/>
      <c r="D165" s="34" t="n"/>
      <c r="E165" s="35" t="n"/>
      <c r="F165" s="35" t="n"/>
      <c r="G165" s="41" t="n"/>
      <c r="H165" s="34" t="n"/>
      <c r="I165" s="36" t="n"/>
      <c r="J165" s="37" t="n"/>
    </row>
    <row r="166" ht="15" customHeight="1" s="62">
      <c r="A166" s="54" t="n"/>
      <c r="B166" s="33" t="n"/>
      <c r="C166" s="34" t="n"/>
      <c r="D166" s="34" t="n"/>
      <c r="E166" s="35" t="n"/>
      <c r="F166" s="35" t="n"/>
      <c r="G166" s="41" t="n"/>
      <c r="H166" s="34" t="n"/>
      <c r="I166" s="36" t="n"/>
      <c r="J166" s="37" t="n"/>
    </row>
    <row r="167" ht="15" customHeight="1" s="62">
      <c r="A167" s="54" t="n"/>
      <c r="B167" s="33" t="n"/>
      <c r="C167" s="34" t="n"/>
      <c r="D167" s="34" t="n"/>
      <c r="E167" s="35" t="n"/>
      <c r="F167" s="35" t="n"/>
      <c r="G167" s="41" t="n"/>
      <c r="H167" s="34" t="n"/>
      <c r="I167" s="36" t="n"/>
      <c r="J167" s="37" t="n"/>
    </row>
    <row r="168" ht="15" customHeight="1" s="62">
      <c r="A168" s="54" t="n"/>
      <c r="B168" s="33" t="n"/>
      <c r="C168" s="34" t="n"/>
      <c r="D168" s="34" t="n"/>
      <c r="E168" s="35" t="n"/>
      <c r="F168" s="35" t="n"/>
      <c r="G168" s="41" t="n"/>
      <c r="H168" s="34" t="n"/>
      <c r="I168" s="36" t="n"/>
      <c r="J168" s="37" t="n"/>
    </row>
    <row r="169" ht="15" customHeight="1" s="62">
      <c r="A169" s="54" t="n"/>
      <c r="B169" s="33" t="n"/>
      <c r="C169" s="34" t="n"/>
      <c r="D169" s="34" t="n"/>
      <c r="E169" s="35" t="n"/>
      <c r="F169" s="35" t="n"/>
      <c r="G169" s="41" t="n"/>
      <c r="H169" s="34" t="n"/>
      <c r="I169" s="36" t="n"/>
      <c r="J169" s="37" t="n"/>
    </row>
    <row r="170" ht="15" customHeight="1" s="62">
      <c r="A170" s="54" t="n"/>
      <c r="B170" s="33" t="n"/>
      <c r="C170" s="34" t="n"/>
      <c r="D170" s="34" t="n"/>
      <c r="E170" s="35" t="n"/>
      <c r="F170" s="35" t="n"/>
      <c r="G170" s="41" t="n"/>
      <c r="H170" s="34" t="n"/>
      <c r="I170" s="36" t="n"/>
      <c r="J170" s="37" t="n"/>
    </row>
    <row r="171" ht="15" customHeight="1" s="62">
      <c r="A171" s="54" t="n"/>
      <c r="B171" s="33" t="n"/>
      <c r="C171" s="34" t="n"/>
      <c r="D171" s="34" t="n"/>
      <c r="E171" s="35" t="n"/>
      <c r="F171" s="35" t="n"/>
      <c r="G171" s="41" t="n"/>
      <c r="H171" s="34" t="n"/>
      <c r="I171" s="36" t="n"/>
      <c r="J171" s="37" t="n"/>
    </row>
    <row r="172" ht="15" customHeight="1" s="62">
      <c r="A172" s="54" t="n"/>
      <c r="B172" s="33" t="n"/>
      <c r="C172" s="34" t="n"/>
      <c r="D172" s="34" t="n"/>
      <c r="E172" s="35" t="n"/>
      <c r="F172" s="35" t="n"/>
      <c r="G172" s="41" t="n"/>
      <c r="H172" s="34" t="n"/>
      <c r="I172" s="36" t="n"/>
      <c r="J172" s="37" t="n"/>
    </row>
    <row r="173" ht="15" customHeight="1" s="62">
      <c r="A173" s="54" t="n"/>
      <c r="B173" s="33" t="n"/>
      <c r="C173" s="34" t="n"/>
      <c r="D173" s="34" t="n"/>
      <c r="E173" s="35" t="n"/>
      <c r="F173" s="35" t="n"/>
      <c r="G173" s="41" t="n"/>
      <c r="H173" s="34" t="n"/>
      <c r="I173" s="36" t="n"/>
      <c r="J173" s="37" t="n"/>
    </row>
    <row r="174" ht="15" customHeight="1" s="62">
      <c r="A174" s="54" t="n"/>
      <c r="B174" s="33" t="n"/>
      <c r="C174" s="34" t="n"/>
      <c r="D174" s="34" t="n"/>
      <c r="E174" s="35" t="n"/>
      <c r="F174" s="35" t="n"/>
      <c r="G174" s="41" t="n"/>
      <c r="H174" s="34" t="n"/>
      <c r="I174" s="36" t="n"/>
      <c r="J174" s="37" t="n"/>
    </row>
    <row r="175" ht="15" customHeight="1" s="62">
      <c r="A175" s="54" t="n"/>
      <c r="B175" s="33" t="n"/>
      <c r="C175" s="34" t="n"/>
      <c r="D175" s="34" t="n"/>
      <c r="E175" s="35" t="n"/>
      <c r="F175" s="35" t="n"/>
      <c r="G175" s="41" t="n"/>
      <c r="H175" s="34" t="n"/>
      <c r="I175" s="36" t="n"/>
      <c r="J175" s="37" t="n"/>
    </row>
    <row r="176" ht="15" customHeight="1" s="62">
      <c r="A176" s="54" t="n"/>
      <c r="B176" s="33" t="n"/>
      <c r="C176" s="34" t="n"/>
      <c r="D176" s="34" t="n"/>
      <c r="E176" s="35" t="n"/>
      <c r="F176" s="35" t="n"/>
      <c r="G176" s="41" t="n"/>
      <c r="H176" s="34" t="n"/>
      <c r="I176" s="36" t="n"/>
      <c r="J176" s="37" t="n"/>
    </row>
    <row r="177" ht="15" customHeight="1" s="62">
      <c r="A177" s="54" t="n"/>
      <c r="B177" s="33" t="n"/>
      <c r="C177" s="34" t="n"/>
      <c r="D177" s="34" t="n"/>
      <c r="E177" s="35" t="n"/>
      <c r="F177" s="35" t="n"/>
      <c r="G177" s="41" t="n"/>
      <c r="H177" s="34" t="n"/>
      <c r="I177" s="36" t="n"/>
      <c r="J177" s="37" t="n"/>
    </row>
    <row r="178" ht="15" customHeight="1" s="62">
      <c r="A178" s="54" t="n"/>
      <c r="B178" s="33" t="n"/>
      <c r="C178" s="34" t="n"/>
      <c r="D178" s="34" t="n"/>
      <c r="E178" s="35" t="n"/>
      <c r="F178" s="35" t="n"/>
      <c r="G178" s="41" t="n"/>
      <c r="H178" s="34" t="n"/>
      <c r="I178" s="36" t="n"/>
      <c r="J178" s="37" t="n"/>
    </row>
    <row r="179" ht="15" customHeight="1" s="62">
      <c r="A179" s="54" t="n"/>
      <c r="B179" s="33" t="n"/>
      <c r="C179" s="34" t="n"/>
      <c r="D179" s="34" t="n"/>
      <c r="E179" s="35" t="n"/>
      <c r="F179" s="35" t="n"/>
      <c r="G179" s="41" t="n"/>
      <c r="H179" s="34" t="n"/>
      <c r="I179" s="36" t="n"/>
      <c r="J179" s="37" t="n"/>
    </row>
    <row r="180" ht="15" customHeight="1" s="62">
      <c r="A180" s="54" t="n"/>
      <c r="B180" s="33" t="n"/>
      <c r="C180" s="34" t="n"/>
      <c r="D180" s="34" t="n"/>
      <c r="E180" s="35" t="n"/>
      <c r="F180" s="35" t="n"/>
      <c r="G180" s="41" t="n"/>
      <c r="H180" s="34" t="n"/>
      <c r="I180" s="36" t="n"/>
      <c r="J180" s="37" t="n"/>
    </row>
    <row r="181" ht="15" customHeight="1" s="62">
      <c r="A181" s="54" t="n"/>
      <c r="B181" s="33" t="n"/>
      <c r="C181" s="34" t="n"/>
      <c r="D181" s="34" t="n"/>
      <c r="E181" s="35" t="n"/>
      <c r="F181" s="35" t="n"/>
      <c r="G181" s="41" t="n"/>
      <c r="H181" s="34" t="n"/>
      <c r="I181" s="36" t="n"/>
      <c r="J181" s="37" t="n"/>
    </row>
    <row r="182" ht="15" customHeight="1" s="62">
      <c r="A182" s="54" t="n"/>
      <c r="B182" s="33" t="n"/>
      <c r="C182" s="34" t="n"/>
      <c r="D182" s="34" t="n"/>
      <c r="E182" s="35" t="n"/>
      <c r="F182" s="35" t="n"/>
      <c r="G182" s="41" t="n"/>
      <c r="H182" s="34" t="n"/>
      <c r="I182" s="36" t="n"/>
      <c r="J182" s="37" t="n"/>
    </row>
    <row r="183" ht="15" customHeight="1" s="62">
      <c r="A183" s="54" t="n"/>
      <c r="B183" s="33" t="n"/>
      <c r="C183" s="34" t="n"/>
      <c r="D183" s="34" t="n"/>
      <c r="E183" s="35" t="n"/>
      <c r="F183" s="35" t="n"/>
      <c r="G183" s="41" t="n"/>
      <c r="H183" s="34" t="n"/>
      <c r="I183" s="36" t="n"/>
      <c r="J183" s="37" t="n"/>
    </row>
    <row r="184" ht="15" customHeight="1" s="62">
      <c r="A184" s="54" t="n"/>
      <c r="B184" s="33" t="n"/>
      <c r="C184" s="34" t="n"/>
      <c r="D184" s="34" t="n"/>
      <c r="E184" s="35" t="n"/>
      <c r="F184" s="35" t="n"/>
      <c r="G184" s="41" t="n"/>
      <c r="H184" s="34" t="n"/>
      <c r="I184" s="36" t="n"/>
      <c r="J184" s="37" t="n"/>
    </row>
    <row r="185" ht="15" customHeight="1" s="62">
      <c r="A185" s="54" t="n"/>
      <c r="B185" s="33" t="n"/>
      <c r="C185" s="34" t="n"/>
      <c r="D185" s="34" t="n"/>
      <c r="E185" s="35" t="n"/>
      <c r="F185" s="35" t="n"/>
      <c r="G185" s="41" t="n"/>
      <c r="H185" s="34" t="n"/>
      <c r="I185" s="36" t="n"/>
      <c r="J185" s="37" t="n"/>
    </row>
    <row r="186" ht="15" customHeight="1" s="62">
      <c r="A186" s="54" t="n"/>
      <c r="B186" s="33" t="n"/>
      <c r="C186" s="34" t="n"/>
      <c r="D186" s="34" t="n"/>
      <c r="E186" s="35" t="n"/>
      <c r="F186" s="35" t="n"/>
      <c r="G186" s="41" t="n"/>
      <c r="H186" s="34" t="n"/>
      <c r="I186" s="36" t="n"/>
      <c r="J186" s="37" t="n"/>
    </row>
    <row r="187" ht="15" customHeight="1" s="62">
      <c r="A187" s="54" t="n"/>
      <c r="B187" s="33" t="n"/>
      <c r="C187" s="34" t="n"/>
      <c r="D187" s="34" t="n"/>
      <c r="E187" s="35" t="n"/>
      <c r="F187" s="35" t="n"/>
      <c r="G187" s="41" t="n"/>
      <c r="H187" s="34" t="n"/>
      <c r="I187" s="36" t="n"/>
      <c r="J187" s="37" t="n"/>
    </row>
    <row r="188" ht="15" customHeight="1" s="62">
      <c r="A188" s="54" t="n"/>
      <c r="B188" s="33" t="n"/>
      <c r="C188" s="34" t="n"/>
      <c r="D188" s="34" t="n"/>
      <c r="E188" s="35" t="n"/>
      <c r="F188" s="35" t="n"/>
      <c r="G188" s="41" t="n"/>
      <c r="H188" s="34" t="n"/>
      <c r="I188" s="36" t="n"/>
      <c r="J188" s="37" t="n"/>
    </row>
    <row r="189" ht="15" customHeight="1" s="62">
      <c r="A189" s="54" t="n"/>
      <c r="B189" s="33" t="n"/>
      <c r="C189" s="34" t="n"/>
      <c r="D189" s="34" t="n"/>
      <c r="E189" s="35" t="n"/>
      <c r="F189" s="35" t="n"/>
      <c r="G189" s="41" t="n"/>
      <c r="H189" s="34" t="n"/>
      <c r="I189" s="36" t="n"/>
      <c r="J189" s="37" t="n"/>
    </row>
    <row r="190" ht="15" customHeight="1" s="62">
      <c r="A190" s="54" t="n"/>
      <c r="B190" s="33" t="n"/>
      <c r="C190" s="34" t="n"/>
      <c r="D190" s="34" t="n"/>
      <c r="E190" s="35" t="n"/>
      <c r="F190" s="35" t="n"/>
      <c r="G190" s="41" t="n"/>
      <c r="H190" s="34" t="n"/>
      <c r="I190" s="36" t="n"/>
      <c r="J190" s="37" t="n"/>
    </row>
    <row r="191" ht="15" customHeight="1" s="62">
      <c r="A191" s="54" t="n"/>
      <c r="B191" s="33" t="n"/>
      <c r="C191" s="34" t="n"/>
      <c r="D191" s="34" t="n"/>
      <c r="E191" s="35" t="n"/>
      <c r="F191" s="35" t="n"/>
      <c r="G191" s="41" t="n"/>
      <c r="H191" s="34" t="n"/>
      <c r="I191" s="36" t="n"/>
      <c r="J191" s="37" t="n"/>
    </row>
    <row r="192" ht="15" customHeight="1" s="62">
      <c r="A192" s="54" t="n"/>
      <c r="B192" s="33" t="n"/>
      <c r="C192" s="34" t="n"/>
      <c r="D192" s="34" t="n"/>
      <c r="E192" s="35" t="n"/>
      <c r="F192" s="35" t="n"/>
      <c r="G192" s="41" t="n"/>
      <c r="H192" s="34" t="n"/>
      <c r="I192" s="36" t="n"/>
      <c r="J192" s="37" t="n"/>
    </row>
    <row r="193" ht="15" customHeight="1" s="62">
      <c r="A193" s="54" t="n"/>
      <c r="B193" s="33" t="n"/>
      <c r="C193" s="34" t="n"/>
      <c r="D193" s="34" t="n"/>
      <c r="E193" s="35" t="n"/>
      <c r="F193" s="35" t="n"/>
      <c r="G193" s="41" t="n"/>
      <c r="H193" s="34" t="n"/>
      <c r="I193" s="36" t="n"/>
      <c r="J193" s="37" t="n"/>
    </row>
    <row r="194" ht="15" customHeight="1" s="62">
      <c r="A194" s="54" t="n"/>
      <c r="B194" s="33" t="n"/>
      <c r="C194" s="34" t="n"/>
      <c r="D194" s="34" t="n"/>
      <c r="E194" s="35" t="n"/>
      <c r="F194" s="35" t="n"/>
      <c r="G194" s="41" t="n"/>
      <c r="H194" s="34" t="n"/>
      <c r="I194" s="36" t="n"/>
      <c r="J194" s="37" t="n"/>
    </row>
    <row r="195" ht="15" customHeight="1" s="62">
      <c r="A195" s="54" t="n"/>
      <c r="B195" s="33" t="n"/>
      <c r="C195" s="34" t="n"/>
      <c r="D195" s="34" t="n"/>
      <c r="E195" s="35" t="n"/>
      <c r="F195" s="35" t="n"/>
      <c r="G195" s="41" t="n"/>
      <c r="H195" s="34" t="n"/>
      <c r="I195" s="36" t="n"/>
      <c r="J195" s="37" t="n"/>
    </row>
    <row r="196" ht="15" customHeight="1" s="62">
      <c r="A196" s="54" t="n"/>
      <c r="B196" s="33" t="n"/>
      <c r="C196" s="34" t="n"/>
      <c r="D196" s="34" t="n"/>
      <c r="E196" s="35" t="n"/>
      <c r="F196" s="35" t="n"/>
      <c r="G196" s="41" t="n"/>
      <c r="H196" s="34" t="n"/>
      <c r="I196" s="36" t="n"/>
      <c r="J196" s="37" t="n"/>
    </row>
    <row r="197" ht="15" customHeight="1" s="62">
      <c r="A197" s="54" t="n"/>
      <c r="B197" s="33" t="n"/>
      <c r="C197" s="34" t="n"/>
      <c r="D197" s="34" t="n"/>
      <c r="E197" s="35" t="n"/>
      <c r="F197" s="35" t="n"/>
      <c r="G197" s="41" t="n"/>
      <c r="H197" s="34" t="n"/>
      <c r="I197" s="36" t="n"/>
      <c r="J197" s="37" t="n"/>
    </row>
    <row r="198" ht="15" customHeight="1" s="62">
      <c r="A198" s="54" t="n"/>
      <c r="B198" s="33" t="n"/>
      <c r="C198" s="34" t="n"/>
      <c r="D198" s="34" t="n"/>
      <c r="E198" s="35" t="n"/>
      <c r="F198" s="35" t="n"/>
      <c r="G198" s="41" t="n"/>
      <c r="H198" s="34" t="n"/>
      <c r="I198" s="36" t="n"/>
      <c r="J198" s="37" t="n"/>
    </row>
    <row r="199" ht="15" customHeight="1" s="62">
      <c r="A199" s="54" t="n"/>
      <c r="B199" s="33" t="n"/>
      <c r="C199" s="34" t="n"/>
      <c r="D199" s="34" t="n"/>
      <c r="E199" s="35" t="n"/>
      <c r="F199" s="35" t="n"/>
      <c r="G199" s="41" t="n"/>
      <c r="H199" s="34" t="n"/>
      <c r="I199" s="36" t="n"/>
      <c r="J199" s="37" t="n"/>
    </row>
    <row r="200" ht="15" customHeight="1" s="62">
      <c r="A200" s="54" t="n"/>
      <c r="B200" s="33" t="n"/>
      <c r="C200" s="34" t="n"/>
      <c r="D200" s="34" t="n"/>
      <c r="E200" s="35" t="n"/>
      <c r="F200" s="35" t="n"/>
      <c r="G200" s="41" t="n"/>
      <c r="H200" s="34" t="n"/>
      <c r="I200" s="36" t="n"/>
      <c r="J200" s="37" t="n"/>
    </row>
    <row r="201" ht="15" customHeight="1" s="62">
      <c r="A201" s="54" t="n"/>
      <c r="B201" s="33" t="n"/>
      <c r="C201" s="34" t="n"/>
      <c r="D201" s="34" t="n"/>
      <c r="E201" s="35" t="n"/>
      <c r="F201" s="35" t="n"/>
      <c r="G201" s="41" t="n"/>
      <c r="H201" s="34" t="n"/>
      <c r="I201" s="36" t="n"/>
      <c r="J201" s="37" t="n"/>
    </row>
    <row r="202" ht="15" customHeight="1" s="62">
      <c r="A202" s="54" t="n"/>
      <c r="B202" s="33" t="n"/>
      <c r="C202" s="34" t="n"/>
      <c r="D202" s="34" t="n"/>
      <c r="E202" s="35" t="n"/>
      <c r="F202" s="35" t="n"/>
      <c r="G202" s="41" t="n"/>
      <c r="H202" s="34" t="n"/>
      <c r="I202" s="36" t="n"/>
      <c r="J202" s="37" t="n"/>
    </row>
    <row r="203" ht="15" customHeight="1" s="62">
      <c r="A203" s="54" t="n"/>
      <c r="B203" s="33" t="n"/>
      <c r="C203" s="34" t="n"/>
      <c r="D203" s="34" t="n"/>
      <c r="E203" s="35" t="n"/>
      <c r="F203" s="35" t="n"/>
      <c r="G203" s="41" t="n"/>
      <c r="H203" s="34" t="n"/>
      <c r="I203" s="36" t="n"/>
      <c r="J203" s="37" t="n"/>
    </row>
    <row r="204" ht="15" customHeight="1" s="62">
      <c r="A204" s="54" t="n"/>
      <c r="B204" s="33" t="n"/>
      <c r="C204" s="34" t="n"/>
      <c r="D204" s="34" t="n"/>
      <c r="E204" s="35" t="n"/>
      <c r="F204" s="35" t="n"/>
      <c r="G204" s="41" t="n"/>
      <c r="H204" s="34" t="n"/>
      <c r="I204" s="36" t="n"/>
      <c r="J204" s="37" t="n"/>
    </row>
    <row r="205" ht="15" customHeight="1" s="62">
      <c r="A205" s="54" t="n"/>
      <c r="B205" s="33" t="n"/>
      <c r="C205" s="34" t="n"/>
      <c r="D205" s="34" t="n"/>
      <c r="E205" s="35" t="n"/>
      <c r="F205" s="35" t="n"/>
      <c r="G205" s="41" t="n"/>
      <c r="H205" s="34" t="n"/>
      <c r="I205" s="36" t="n"/>
      <c r="J205" s="37" t="n"/>
    </row>
  </sheetData>
  <mergeCells count="3">
    <mergeCell ref="A1:J1"/>
    <mergeCell ref="A4:J4"/>
    <mergeCell ref="A2:J2"/>
  </mergeCells>
  <conditionalFormatting sqref="A6:H100">
    <cfRule type="expression" priority="9" dxfId="1">
      <formula>$C6="Monthly Rent Charge"</formula>
    </cfRule>
    <cfRule type="expression" priority="11" dxfId="0">
      <formula>$C6="Payment Received"</formula>
    </cfRule>
  </conditionalFormatting>
  <conditionalFormatting sqref="H3">
    <cfRule type="cellIs" priority="16" operator="lessThan" dxfId="3">
      <formula>0</formula>
    </cfRule>
    <cfRule type="cellIs" priority="17" operator="equal" dxfId="3">
      <formula>0</formula>
    </cfRule>
    <cfRule type="cellIs" priority="18" operator="greaterThan" dxfId="2">
      <formula>0</formula>
    </cfRule>
  </conditionalFormatting>
  <conditionalFormatting sqref="I6:I100">
    <cfRule type="cellIs" priority="13" operator="lessThan" dxfId="3">
      <formula>0</formula>
    </cfRule>
    <cfRule type="cellIs" priority="14" operator="equal" dxfId="3">
      <formula>0</formula>
    </cfRule>
    <cfRule type="cellIs" priority="15" operator="greaterThan" dxfId="2">
      <formula>0</formula>
    </cfRule>
  </conditionalFormatting>
  <conditionalFormatting sqref="J6:J100">
    <cfRule type="expression" priority="10" dxfId="1">
      <formula>$C6="Monthly Rent Charge"</formula>
    </cfRule>
    <cfRule type="expression" priority="12" dxfId="0">
      <formula>$C6="Payment Received"</formula>
    </cfRule>
  </conditionalFormatting>
  <dataValidations count="3">
    <dataValidation sqref="B6:B31" showDropDown="0" showInputMessage="0" showErrorMessage="0" allowBlank="1" type="list">
      <formula1>"January,February,March,April,May,June,July,August,September,October,November,December"</formula1>
      <formula2>0</formula2>
    </dataValidation>
    <dataValidation sqref="C6:C31" showDropDown="0" showInputMessage="0" showErrorMessage="0" allowBlank="1" type="list">
      <formula1>"Monthly Rent Charge,Payment Received"</formula1>
      <formula2>0</formula2>
    </dataValidation>
    <dataValidation sqref="A6:A205" showDropDown="0" showInputMessage="1" showErrorMessage="1" allowBlank="1" errorTitle="Invalid date" error="Please enter a valid date." promptTitle="Select a date" prompt="Use the date picker or enter a valid payment date here." type="date">
      <formula1>DATE(2000,1,1)</formula1>
      <formula2>DATE(2100,12,31)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topLeftCell="A22" zoomScale="115" zoomScaleNormal="115" workbookViewId="0">
      <selection activeCell="H30" sqref="H30"/>
    </sheetView>
  </sheetViews>
  <sheetFormatPr baseColWidth="8" defaultColWidth="8.6640625" defaultRowHeight="14.4"/>
  <cols>
    <col width="14" customWidth="1" style="62" min="1" max="1"/>
    <col width="24" customWidth="1" style="62" min="3" max="3"/>
    <col width="11.44140625" customWidth="1" style="62" min="4" max="4"/>
    <col width="15" customWidth="1" style="62" min="5" max="5"/>
    <col width="17" customWidth="1" style="62" min="6" max="6"/>
    <col width="18" customWidth="1" style="62" min="7" max="7"/>
    <col width="22" customWidth="1" style="62" min="8" max="8"/>
    <col width="17" customWidth="1" style="62" min="9" max="9"/>
    <col width="30" customWidth="1" style="62" min="10" max="10"/>
    <col width="12" customWidth="1" style="62" min="11" max="11"/>
    <col width="10" customWidth="1" style="62" min="12" max="12"/>
  </cols>
  <sheetData>
    <row r="1" ht="19.5" customHeight="1" s="62">
      <c r="A1" s="74" t="inlineStr">
        <is>
          <t>Unit A6 — Tenant Statement / Ledger</t>
        </is>
      </c>
    </row>
    <row r="2" ht="27.75" customHeight="1" s="62">
      <c r="A2" s="76" t="inlineStr">
        <is>
          <t>Select a month to create a Monthly Rent Charge: the date fills as the first day of that month (current year) and description fills automatically. For a payment, leave Month blank and choose Payment Received.</t>
        </is>
      </c>
    </row>
    <row r="3" ht="15" customHeight="1" s="62">
      <c r="A3" s="25" t="inlineStr">
        <is>
          <t>Unit</t>
        </is>
      </c>
      <c r="B3" s="25" t="inlineStr">
        <is>
          <t>A6</t>
        </is>
      </c>
      <c r="C3" s="25" t="inlineStr">
        <is>
          <t>Current Rent</t>
        </is>
      </c>
      <c r="D3" s="26" t="n">
        <v>3000</v>
      </c>
      <c r="E3" s="26" t="inlineStr">
        <is>
          <t>Garbage</t>
        </is>
      </c>
      <c r="F3" s="26" t="n">
        <v>200</v>
      </c>
      <c r="G3" s="25" t="inlineStr">
        <is>
          <t>Current Balance</t>
        </is>
      </c>
      <c r="H3" s="27">
        <f>IFERROR(LOOKUP(9.99E+307,I6:I43),0)</f>
        <v/>
      </c>
      <c r="I3" s="25" t="inlineStr">
        <is>
          <t>Tenant</t>
        </is>
      </c>
      <c r="J3" s="28" t="inlineStr">
        <is>
          <t>SAMUEL VICTOR BEET</t>
        </is>
      </c>
      <c r="K3" s="29" t="inlineStr">
        <is>
          <t>Deposit Held</t>
        </is>
      </c>
      <c r="L3" s="30" t="n">
        <v>0</v>
      </c>
    </row>
    <row r="4">
      <c r="A4" s="75" t="inlineStr">
        <is>
          <t>Current tenant only. When vacating → copy rows to Archive sheet, then clear this ledger.</t>
        </is>
      </c>
    </row>
    <row r="5" ht="15" customHeight="1" s="62">
      <c r="A5" s="31" t="inlineStr">
        <is>
          <t>Date</t>
        </is>
      </c>
      <c r="B5" s="31" t="inlineStr">
        <is>
          <t>Month</t>
        </is>
      </c>
      <c r="C5" s="31" t="inlineStr">
        <is>
          <t>Description</t>
        </is>
      </c>
      <c r="D5" s="31" t="inlineStr">
        <is>
          <t>Tenant</t>
        </is>
      </c>
      <c r="E5" s="31" t="inlineStr">
        <is>
          <t>Rent Charged</t>
        </is>
      </c>
      <c r="F5" s="31" t="inlineStr">
        <is>
          <t>Garbage Charged</t>
        </is>
      </c>
      <c r="G5" s="31" t="inlineStr">
        <is>
          <t>Payment Received</t>
        </is>
      </c>
      <c r="H5" s="31" t="inlineStr">
        <is>
          <t>M-Pesa Reference</t>
        </is>
      </c>
      <c r="I5" s="31" t="inlineStr">
        <is>
          <t>Running Balance</t>
        </is>
      </c>
      <c r="J5" s="31" t="inlineStr">
        <is>
          <t>Remarks</t>
        </is>
      </c>
    </row>
    <row r="6" ht="15" customHeight="1" s="62">
      <c r="A6" s="54" t="n">
        <v>45962</v>
      </c>
      <c r="B6" s="33" t="inlineStr">
        <is>
          <t>November</t>
        </is>
      </c>
      <c r="C6" s="34">
        <f>IF(B6="","","Monthly Rent Charge")</f>
        <v/>
      </c>
      <c r="D6" s="34" t="n"/>
      <c r="E6" s="35">
        <f>IF(C6="Monthly Rent Charge",$D$3,"")</f>
        <v/>
      </c>
      <c r="F6" s="35">
        <f>IF(C6="Monthly Rent Charge",$F$3,"")</f>
        <v/>
      </c>
      <c r="G6" s="41" t="n"/>
      <c r="H6" s="34" t="n"/>
      <c r="I6" s="36">
        <f>IF(A6="","",IF(C6="Payment Received",-IFERROR(G6,0),IF(C6="Monthly Rent Charge",IFERROR(E6,0)+IFERROR(F6,0),0)))</f>
        <v/>
      </c>
      <c r="J6" s="37" t="n"/>
    </row>
    <row r="7" ht="15" customHeight="1" s="62">
      <c r="A7" s="53" t="n">
        <v>45982</v>
      </c>
      <c r="B7" s="33" t="n"/>
      <c r="C7" s="34" t="inlineStr">
        <is>
          <t>Payment Received</t>
        </is>
      </c>
      <c r="D7" s="34" t="n"/>
      <c r="E7" s="35">
        <f>IF(C7="Monthly Rent Charge",$D$3,"")</f>
        <v/>
      </c>
      <c r="F7" s="35">
        <f>IF(C7="Monthly Rent Charge",$F$3,"")</f>
        <v/>
      </c>
      <c r="G7" s="41" t="n">
        <v>3200</v>
      </c>
      <c r="H7" s="39" t="inlineStr">
        <is>
          <t>TKLA4SAS3T8</t>
        </is>
      </c>
      <c r="I7" s="36">
        <f>IF(A7="","",IF(C7="Payment Received",I6-IFERROR(G7,0),IF(C7="Monthly Rent Charge",I6+IFERROR(E7,0)+IFERROR(F7,0),I6)))</f>
        <v/>
      </c>
      <c r="J7" s="37" t="n"/>
    </row>
    <row r="8" ht="15" customHeight="1" s="62">
      <c r="A8" s="54" t="n">
        <v>45992</v>
      </c>
      <c r="B8" s="33" t="inlineStr">
        <is>
          <t>December</t>
        </is>
      </c>
      <c r="C8" s="34">
        <f>IF(B8="","","Monthly Rent Charge")</f>
        <v/>
      </c>
      <c r="D8" s="34" t="n"/>
      <c r="E8" s="35">
        <f>IF(C8="Monthly Rent Charge",$D$3,"")</f>
        <v/>
      </c>
      <c r="F8" s="35">
        <f>IF(C8="Monthly Rent Charge",$F$3,"")</f>
        <v/>
      </c>
      <c r="G8" s="41" t="n"/>
      <c r="H8" s="34" t="n"/>
      <c r="I8" s="36">
        <f>IF(A8="","",IF(C8="Payment Received",I7-IFERROR(G8,0),IF(C8="Monthly Rent Charge",I7+IFERROR(E8,0)+IFERROR(F8,0),I7)))</f>
        <v/>
      </c>
      <c r="J8" s="37" t="n"/>
    </row>
    <row r="9" ht="15" customHeight="1" s="62">
      <c r="A9" s="53" t="n">
        <v>45994</v>
      </c>
      <c r="B9" s="33" t="n"/>
      <c r="C9" s="34" t="inlineStr">
        <is>
          <t>Payment Received</t>
        </is>
      </c>
      <c r="D9" s="34" t="n"/>
      <c r="E9" s="35">
        <f>IF(C9="Monthly Rent Charge",$D$3,"")</f>
        <v/>
      </c>
      <c r="F9" s="35">
        <f>IF(C9="Monthly Rent Charge",$F$3,"")</f>
        <v/>
      </c>
      <c r="G9" s="41" t="n">
        <v>2000</v>
      </c>
      <c r="H9" s="39" t="inlineStr">
        <is>
          <t>TL34SBU1VB</t>
        </is>
      </c>
      <c r="I9" s="36">
        <f>IF(A9="","",IF(C9="Payment Received",I8-IFERROR(G9,0),IF(C9="Monthly Rent Charge",I8+IFERROR(E9,0)+IFERROR(F9,0),I8)))</f>
        <v/>
      </c>
      <c r="J9" s="37" t="n"/>
    </row>
    <row r="10" ht="15" customHeight="1" s="62">
      <c r="A10" s="53" t="n">
        <v>46004</v>
      </c>
      <c r="B10" s="33" t="n"/>
      <c r="C10" s="34" t="inlineStr">
        <is>
          <t>Payment Received</t>
        </is>
      </c>
      <c r="D10" s="34" t="n"/>
      <c r="E10" s="35">
        <f>IF(C10="Monthly Rent Charge",$D$3,"")</f>
        <v/>
      </c>
      <c r="F10" s="35">
        <f>IF(C10="Monthly Rent Charge",$F$3,"")</f>
        <v/>
      </c>
      <c r="G10" s="41" t="n">
        <v>1200</v>
      </c>
      <c r="H10" s="39" t="inlineStr">
        <is>
          <t>TDL4SOWW8K</t>
        </is>
      </c>
      <c r="I10" s="36">
        <f>IF(A10="","",IF(C10="Payment Received",I9-IFERROR(G10,0),IF(C10="Monthly Rent Charge",I9+IFERROR(E10,0)+IFERROR(F10,0),I9)))</f>
        <v/>
      </c>
      <c r="J10" s="37" t="n"/>
    </row>
    <row r="11" ht="15" customHeight="1" s="62">
      <c r="A11" s="54">
        <f>IF(B11="","",DATE(YEAR(TODAY()),MATCH(B11,{"January","February","March","April","May","June","July","August","September","October","November","December"},0),1))</f>
        <v/>
      </c>
      <c r="B11" s="33" t="inlineStr">
        <is>
          <t>January</t>
        </is>
      </c>
      <c r="C11" s="34">
        <f>IF(B11="","","Monthly Rent Charge")</f>
        <v/>
      </c>
      <c r="D11" s="34" t="n"/>
      <c r="E11" s="35">
        <f>IF(C11="Monthly Rent Charge",$D$3,"")</f>
        <v/>
      </c>
      <c r="F11" s="35">
        <f>IF(C11="Monthly Rent Charge",$F$3,"")</f>
        <v/>
      </c>
      <c r="G11" s="41" t="n"/>
      <c r="H11" s="34" t="n"/>
      <c r="I11" s="36">
        <f>IF(A11="","",IF(C11="Payment Received",I10-IFERROR(G11,0),IF(C11="Monthly Rent Charge",I10+IFERROR(E11,0)+IFERROR(F11,0),I10)))</f>
        <v/>
      </c>
      <c r="J11" s="37" t="n"/>
    </row>
    <row r="12" ht="15" customHeight="1" s="62">
      <c r="A12" s="53" t="n">
        <v>46028</v>
      </c>
      <c r="B12" s="33" t="n"/>
      <c r="C12" s="34" t="inlineStr">
        <is>
          <t>Payment Received</t>
        </is>
      </c>
      <c r="D12" s="34" t="n"/>
      <c r="E12" s="35">
        <f>IF(C12="Monthly Rent Charge",$D$3,"")</f>
        <v/>
      </c>
      <c r="F12" s="35">
        <f>IF(C12="Monthly Rent Charge",$F$3,"")</f>
        <v/>
      </c>
      <c r="G12" s="41" t="n">
        <v>1500</v>
      </c>
      <c r="H12" s="39" t="inlineStr">
        <is>
          <t>UA64S32JO1</t>
        </is>
      </c>
      <c r="I12" s="36">
        <f>IF(A12="","",IF(C12="Payment Received",I11-IFERROR(G12,0),IF(C12="Monthly Rent Charge",I11+IFERROR(E12,0)+IFERROR(F12,0),I11)))</f>
        <v/>
      </c>
      <c r="J12" s="37" t="n"/>
    </row>
    <row r="13" ht="15" customHeight="1" s="62">
      <c r="A13" s="53" t="n">
        <v>46038</v>
      </c>
      <c r="B13" s="33" t="n"/>
      <c r="C13" s="34" t="inlineStr">
        <is>
          <t>Payment Received</t>
        </is>
      </c>
      <c r="D13" s="34" t="n"/>
      <c r="E13" s="35">
        <f>IF(C13="Monthly Rent Charge",$D$3,"")</f>
        <v/>
      </c>
      <c r="F13" s="35">
        <f>IF(C13="Monthly Rent Charge",$F$3,"")</f>
        <v/>
      </c>
      <c r="G13" s="41" t="n">
        <v>1700</v>
      </c>
      <c r="H13" s="39" t="inlineStr">
        <is>
          <t>UAG4S3ZOC3</t>
        </is>
      </c>
      <c r="I13" s="36">
        <f>IF(A13="","",IF(C13="Payment Received",I12-IFERROR(G13,0),IF(C13="Monthly Rent Charge",I12+IFERROR(E13,0)+IFERROR(F13,0),I12)))</f>
        <v/>
      </c>
      <c r="J13" s="37" t="n"/>
    </row>
    <row r="14" ht="15" customHeight="1" s="62">
      <c r="A14" s="54">
        <f>IF(B14="","",DATE(YEAR(TODAY()),MATCH(B14,{"January","February","March","April","May","June","July","August","September","October","November","December"},0),1))</f>
        <v/>
      </c>
      <c r="B14" s="33" t="inlineStr">
        <is>
          <t>February</t>
        </is>
      </c>
      <c r="C14" s="34">
        <f>IF(B14="","","Monthly Rent Charge")</f>
        <v/>
      </c>
      <c r="D14" s="34" t="n"/>
      <c r="E14" s="35">
        <f>IF(C14="Monthly Rent Charge",$D$3,"")</f>
        <v/>
      </c>
      <c r="F14" s="35">
        <f>IF(C14="Monthly Rent Charge",$F$3,"")</f>
        <v/>
      </c>
      <c r="G14" s="41" t="n"/>
      <c r="H14" s="34" t="n"/>
      <c r="I14" s="36">
        <f>IF(A14="","",IF(C14="Payment Received",I13-IFERROR(G14,0),IF(C14="Monthly Rent Charge",I13+IFERROR(E14,0)+IFERROR(F14,0),I13)))</f>
        <v/>
      </c>
      <c r="J14" s="37" t="n"/>
    </row>
    <row r="15" ht="15" customHeight="1" s="62">
      <c r="A15" s="53" t="n">
        <v>46057</v>
      </c>
      <c r="B15" s="33" t="n"/>
      <c r="C15" s="34" t="inlineStr">
        <is>
          <t>Payment Received</t>
        </is>
      </c>
      <c r="D15" s="34" t="n"/>
      <c r="E15" s="35">
        <f>IF(C15="Monthly Rent Charge",$D$3,"")</f>
        <v/>
      </c>
      <c r="F15" s="35">
        <f>IF(C15="Monthly Rent Charge",$F$3,"")</f>
        <v/>
      </c>
      <c r="G15" s="41" t="n">
        <v>1700</v>
      </c>
      <c r="H15" s="39" t="inlineStr">
        <is>
          <t>UB44S5QQGL</t>
        </is>
      </c>
      <c r="I15" s="36">
        <f>IF(A15="","",IF(C15="Payment Received",I14-IFERROR(G15,0),IF(C15="Monthly Rent Charge",I14+IFERROR(E15,0)+IFERROR(F15,0),I14)))</f>
        <v/>
      </c>
      <c r="J15" s="37" t="n"/>
    </row>
    <row r="16" ht="15" customHeight="1" s="62">
      <c r="A16" s="53" t="n">
        <v>46077</v>
      </c>
      <c r="B16" s="33" t="n"/>
      <c r="C16" s="34" t="inlineStr">
        <is>
          <t>Payment Received</t>
        </is>
      </c>
      <c r="D16" s="34" t="n"/>
      <c r="E16" s="35">
        <f>IF(C16="Monthly Rent Charge",$D$3,"")</f>
        <v/>
      </c>
      <c r="F16" s="35">
        <f>IF(C16="Monthly Rent Charge",$F$3,"")</f>
        <v/>
      </c>
      <c r="G16" s="41" t="n">
        <v>1500</v>
      </c>
      <c r="H16" s="39" t="inlineStr">
        <is>
          <t>UBO4S7L8EH</t>
        </is>
      </c>
      <c r="I16" s="36">
        <f>IF(A16="","",IF(C16="Payment Received",I15-IFERROR(G16,0),IF(C16="Monthly Rent Charge",I15+IFERROR(E16,0)+IFERROR(F16,0),I15)))</f>
        <v/>
      </c>
      <c r="J16" s="37" t="n"/>
    </row>
    <row r="17" ht="15" customHeight="1" s="62">
      <c r="A17" s="54">
        <f>IF(B17="","",DATE(YEAR(TODAY()),MATCH(B17,{"January","February","March","April","May","June","July","August","September","October","November","December"},0),1))</f>
        <v/>
      </c>
      <c r="B17" s="33" t="inlineStr">
        <is>
          <t>March</t>
        </is>
      </c>
      <c r="C17" s="34">
        <f>IF(B17="","","Monthly Rent Charge")</f>
        <v/>
      </c>
      <c r="D17" s="34" t="n"/>
      <c r="E17" s="35">
        <f>IF(C17="Monthly Rent Charge",$D$3,"")</f>
        <v/>
      </c>
      <c r="F17" s="35">
        <f>IF(C17="Monthly Rent Charge",$F$3,"")</f>
        <v/>
      </c>
      <c r="G17" s="41" t="n"/>
      <c r="H17" s="34" t="n"/>
      <c r="I17" s="36">
        <f>IF(A17="","",IF(C17="Payment Received",I16-IFERROR(G17,0),IF(C17="Monthly Rent Charge",I16+IFERROR(E17,0)+IFERROR(F17,0),I16)))</f>
        <v/>
      </c>
      <c r="J17" s="37" t="n"/>
    </row>
    <row r="18" ht="15" customHeight="1" s="62">
      <c r="A18" s="53" t="n">
        <v>46090</v>
      </c>
      <c r="B18" s="33" t="n"/>
      <c r="C18" s="34" t="inlineStr">
        <is>
          <t>Payment Received</t>
        </is>
      </c>
      <c r="D18" s="34" t="n"/>
      <c r="E18" s="35">
        <f>IF(C18="Monthly Rent Charge",$D$3,"")</f>
        <v/>
      </c>
      <c r="F18" s="35">
        <f>IF(C18="Monthly Rent Charge",$F$3,"")</f>
        <v/>
      </c>
      <c r="G18" s="41" t="n">
        <v>2000</v>
      </c>
      <c r="H18" s="39" t="inlineStr">
        <is>
          <t>UC94S8TX9Y</t>
        </is>
      </c>
      <c r="I18" s="36">
        <f>IF(A18="","",IF(C18="Payment Received",I17-IFERROR(G18,0),IF(C18="Monthly Rent Charge",I17+IFERROR(E18,0)+IFERROR(F18,0),I17)))</f>
        <v/>
      </c>
      <c r="J18" s="37" t="n"/>
    </row>
    <row r="19" ht="15" customHeight="1" s="62">
      <c r="A19" s="53" t="n">
        <v>46104</v>
      </c>
      <c r="B19" s="33" t="n"/>
      <c r="C19" s="34" t="inlineStr">
        <is>
          <t>Payment Received</t>
        </is>
      </c>
      <c r="D19" s="34" t="n"/>
      <c r="E19" s="35">
        <f>IF(C19="Monthly Rent Charge",$D$3,"")</f>
        <v/>
      </c>
      <c r="F19" s="35">
        <f>IF(C19="Monthly Rent Charge",$F$3,"")</f>
        <v/>
      </c>
      <c r="G19" s="41" t="n">
        <v>1200</v>
      </c>
      <c r="H19" s="39" t="inlineStr">
        <is>
          <t>UCN4SA7F8S</t>
        </is>
      </c>
      <c r="I19" s="36">
        <f>IF(A19="","",IF(C19="Payment Received",I18-IFERROR(G19,0),IF(C19="Monthly Rent Charge",I18+IFERROR(E19,0)+IFERROR(F19,0),I18)))</f>
        <v/>
      </c>
      <c r="J19" s="37" t="n"/>
    </row>
    <row r="20" ht="15" customHeight="1" s="62">
      <c r="A20" s="54">
        <f>IF(B20="","",DATE(YEAR(TODAY()),MATCH(B20,{"January","February","March","April","May","June","July","August","September","October","November","December"},0),1))</f>
        <v/>
      </c>
      <c r="B20" s="33" t="inlineStr">
        <is>
          <t>April</t>
        </is>
      </c>
      <c r="C20" s="34">
        <f>IF(B20="","","Monthly Rent Charge")</f>
        <v/>
      </c>
      <c r="D20" s="34" t="n"/>
      <c r="E20" s="35">
        <f>IF(C20="Monthly Rent Charge",$D$3,"")</f>
        <v/>
      </c>
      <c r="F20" s="35">
        <f>IF(C20="Monthly Rent Charge",$F$3,"")</f>
        <v/>
      </c>
      <c r="G20" s="41" t="n"/>
      <c r="H20" s="34" t="n"/>
      <c r="I20" s="36">
        <f>IF(A20="","",IF(C20="Payment Received",I19-IFERROR(G20,0),IF(C20="Monthly Rent Charge",I19+IFERROR(E20,0)+IFERROR(F20,0),I19)))</f>
        <v/>
      </c>
      <c r="J20" s="37" t="n"/>
    </row>
    <row r="21" ht="15" customHeight="1" s="62">
      <c r="A21" s="53" t="n">
        <v>46130</v>
      </c>
      <c r="B21" s="33" t="n"/>
      <c r="C21" s="34" t="inlineStr">
        <is>
          <t>Payment Received</t>
        </is>
      </c>
      <c r="D21" s="34" t="n"/>
      <c r="E21" s="35">
        <f>IF(C21="Monthly Rent Charge",$D$3,"")</f>
        <v/>
      </c>
      <c r="F21" s="35">
        <f>IF(C21="Monthly Rent Charge",$F$3,"")</f>
        <v/>
      </c>
      <c r="G21" s="41" t="n">
        <v>3200</v>
      </c>
      <c r="H21" s="39" t="inlineStr">
        <is>
          <t>UDI4S19MUS</t>
        </is>
      </c>
      <c r="I21" s="36">
        <f>IF(A21="","",IF(C21="Payment Received",I20-IFERROR(G21,0),IF(C21="Monthly Rent Charge",I20+IFERROR(E21,0)+IFERROR(F21,0),I20)))</f>
        <v/>
      </c>
      <c r="J21" s="37" t="n"/>
    </row>
    <row r="22" ht="15" customHeight="1" s="62">
      <c r="A22" s="54">
        <f>IF(B22="","",DATE(YEAR(TODAY()),MATCH(B22,{"January","February","March","April","May","June","July","August","September","October","November","December"},0),1))</f>
        <v/>
      </c>
      <c r="B22" s="33" t="inlineStr">
        <is>
          <t>May</t>
        </is>
      </c>
      <c r="C22" s="34">
        <f>IF(B22="","","Monthly Rent Charge")</f>
        <v/>
      </c>
      <c r="D22" s="34" t="n"/>
      <c r="E22" s="35">
        <f>IF(C22="Monthly Rent Charge",$D$3,"")</f>
        <v/>
      </c>
      <c r="F22" s="35">
        <f>IF(C22="Monthly Rent Charge",$F$3,"")</f>
        <v/>
      </c>
      <c r="G22" s="41" t="n"/>
      <c r="H22" s="34" t="n"/>
      <c r="I22" s="36">
        <f>IF(A22="","",IF(C22="Payment Received",I21-IFERROR(G22,0),IF(C22="Monthly Rent Charge",I21+IFERROR(E22,0)+IFERROR(F22,0),I21)))</f>
        <v/>
      </c>
      <c r="J22" s="37" t="n"/>
    </row>
    <row r="23" ht="15" customHeight="1" s="62">
      <c r="A23" s="53" t="n">
        <v>46148</v>
      </c>
      <c r="B23" s="33" t="n"/>
      <c r="C23" s="34" t="inlineStr">
        <is>
          <t>Payment Received</t>
        </is>
      </c>
      <c r="D23" s="34" t="n"/>
      <c r="E23" s="35">
        <f>IF(C23="Monthly Rent Charge",$D$3,"")</f>
        <v/>
      </c>
      <c r="F23" s="35">
        <f>IF(C23="Monthly Rent Charge",$F$3,"")</f>
        <v/>
      </c>
      <c r="G23" s="41" t="n">
        <v>1200</v>
      </c>
      <c r="H23" s="39" t="inlineStr">
        <is>
          <t>UE64S3C2RF</t>
        </is>
      </c>
      <c r="I23" s="36">
        <f>IF(A23="","",IF(C23="Payment Received",I22-IFERROR(G23,0),IF(C23="Monthly Rent Charge",I22+IFERROR(E23,0)+IFERROR(F23,0),I22)))</f>
        <v/>
      </c>
      <c r="J23" s="37" t="n"/>
    </row>
    <row r="24" ht="15" customHeight="1" s="62">
      <c r="A24" s="54">
        <f>IF(B24="","",DATE(YEAR(TODAY()),MATCH(B24,{"January","February","March","April","May","June","July","August","September","October","November","December"},0),1))</f>
        <v/>
      </c>
      <c r="B24" s="33" t="inlineStr">
        <is>
          <t>June</t>
        </is>
      </c>
      <c r="C24" s="34">
        <f>IF(B24="","","Monthly Rent Charge")</f>
        <v/>
      </c>
      <c r="D24" s="34" t="n"/>
      <c r="E24" s="35">
        <f>IF(C24="Monthly Rent Charge",$D$3,"")</f>
        <v/>
      </c>
      <c r="F24" s="35">
        <f>IF(C24="Monthly Rent Charge",$F$3,"")</f>
        <v/>
      </c>
      <c r="G24" s="41" t="n"/>
      <c r="H24" s="34" t="n"/>
      <c r="I24" s="36">
        <f>IF(AND(A24="",C24=""),"",IF(C24="Payment Received",I23-IFERROR(G24,0),IF(C24="Monthly Rent Charge",I23+IFERROR(E24,0)+IFERROR(F24,0),I23)))</f>
        <v/>
      </c>
      <c r="J24" s="37" t="n"/>
    </row>
    <row r="25" ht="15" customHeight="1" s="62">
      <c r="A25" s="54">
        <f>IF(B25="","",DATE(YEAR(TODAY()),MATCH(B25,{"January","February","March","April","May","June","July","August","September","October","November","December"},0),1))</f>
        <v/>
      </c>
      <c r="B25" s="33" t="inlineStr">
        <is>
          <t>July</t>
        </is>
      </c>
      <c r="C25" s="34" t="inlineStr">
        <is>
          <t>Monthly Rent Charge</t>
        </is>
      </c>
      <c r="D25" s="34" t="n"/>
      <c r="E25" s="35">
        <f>IF(C25="Monthly Rent Charge",$D$3,"")</f>
        <v/>
      </c>
      <c r="F25" s="35">
        <f>IF(C25="Monthly Rent Charge",$F$3,"")</f>
        <v/>
      </c>
      <c r="G25" s="41" t="n"/>
      <c r="H25" s="34" t="n"/>
      <c r="I25" s="36">
        <f>IF(AND(A25="",C25=""),"",IF(C25="Payment Received",I24-IFERROR(G25,0),IF(C25="Monthly Rent Charge",I24+IFERROR(E25,0)+IFERROR(F25,0),I24)))</f>
        <v/>
      </c>
      <c r="J25" s="37" t="n"/>
    </row>
    <row r="26" ht="15" customHeight="1" s="62">
      <c r="A26" s="54" t="n">
        <v>46204</v>
      </c>
      <c r="B26" s="33" t="n"/>
      <c r="C26" s="34" t="inlineStr">
        <is>
          <t>Payment Received</t>
        </is>
      </c>
      <c r="D26" s="34" t="n"/>
      <c r="E26" s="35">
        <f>IF(C26="Monthly Rent Charge",$D$3,"")</f>
        <v/>
      </c>
      <c r="F26" s="35">
        <f>IF(C26="Monthly Rent Charge",$F$3,"")</f>
        <v/>
      </c>
      <c r="G26" s="41" t="n">
        <v>5200</v>
      </c>
      <c r="H26" s="34" t="inlineStr">
        <is>
          <t>UG14S9PNPS</t>
        </is>
      </c>
      <c r="I26" s="36">
        <f>IF(AND(A26="",C26=""),"",IF(C26="Payment Received",I25-IFERROR(G26,0),IF(C26="Monthly Rent Charge",I25+IFERROR(E26,0)+IFERROR(F26,0),I25)))</f>
        <v/>
      </c>
      <c r="J26" s="37" t="n"/>
    </row>
    <row r="27" ht="15" customHeight="1" s="62">
      <c r="A27" s="54">
        <f>IF(B27="","",DATE(YEAR(TODAY()),MATCH(B27,{"January","February","March","April","May","June","July","August","September","October","November","December"},0),1))</f>
        <v/>
      </c>
      <c r="B27" s="33" t="inlineStr">
        <is>
          <t>August</t>
        </is>
      </c>
      <c r="C27" s="34">
        <f>IF(B27="","","Monthly Rent Charge")</f>
        <v/>
      </c>
      <c r="D27" s="34" t="n"/>
      <c r="E27" s="35">
        <f>IF(C27="Monthly Rent Charge",$D$3,"")</f>
        <v/>
      </c>
      <c r="F27" s="35">
        <f>IF(C27="Monthly Rent Charge",$F$3,"")</f>
        <v/>
      </c>
      <c r="G27" s="41" t="n"/>
      <c r="H27" s="34" t="n"/>
      <c r="I27" s="36">
        <f>IF(AND(A27="",C27=""),"",IF(C27="Payment Received",I26-IFERROR(G27,0),IF(C27="Monthly Rent Charge",I26+IFERROR(E27,0)+IFERROR(F27,0),I26)))</f>
        <v/>
      </c>
      <c r="J27" s="37" t="n"/>
    </row>
    <row r="28" ht="15" customHeight="1" s="62">
      <c r="A28" s="54" t="n">
        <v>46236</v>
      </c>
      <c r="B28" s="33" t="n"/>
      <c r="C28" s="34" t="inlineStr">
        <is>
          <t>Payment Received</t>
        </is>
      </c>
      <c r="D28" s="34" t="n"/>
      <c r="E28" s="35">
        <f>IF(C28="Monthly Rent Charge",$D$3,"")</f>
        <v/>
      </c>
      <c r="F28" s="35">
        <f>IF(C28="Monthly Rent Charge",$F$3,"")</f>
        <v/>
      </c>
      <c r="G28" s="41" t="n">
        <v>3200</v>
      </c>
      <c r="H28" s="34" t="inlineStr">
        <is>
          <t>UH24S1F3B7</t>
        </is>
      </c>
      <c r="I28" s="36">
        <f>IF(AND(A28="",C28=""),"",IF(C28="Payment Received",I27-IFERROR(G28,0),IF(C28="Monthly Rent Charge",I27+IFERROR(E28,0)+IFERROR(F28,0),I27)))</f>
        <v/>
      </c>
      <c r="J28" s="37" t="n"/>
    </row>
    <row r="29" ht="15" customHeight="1" s="62">
      <c r="A29" s="54">
        <f>IF(B29="","",DATE(YEAR(TODAY()),MATCH(B29,{"January","February","March","April","May","June","July","August","September","October","November","December"},0),1))</f>
        <v/>
      </c>
      <c r="B29" s="33" t="n"/>
      <c r="C29" s="34">
        <f>IF(B29="","","Monthly Rent Charge")</f>
        <v/>
      </c>
      <c r="D29" s="34" t="n"/>
      <c r="E29" s="35">
        <f>IF(C29="Monthly Rent Charge",$D$3,"")</f>
        <v/>
      </c>
      <c r="F29" s="35">
        <f>IF(C29="Monthly Rent Charge",$F$3,"")</f>
        <v/>
      </c>
      <c r="G29" s="41" t="n"/>
      <c r="H29" s="34" t="n"/>
      <c r="I29" s="36">
        <f>IF(AND(A29="",C29=""),"",IF(C29="Payment Received",I28-IFERROR(G29,0),IF(C29="Monthly Rent Charge",I28+IFERROR(E29,0)+IFERROR(F29,0),IFERROR(I28,0))))</f>
        <v/>
      </c>
      <c r="J29" s="37" t="n"/>
    </row>
    <row r="30" ht="15" customHeight="1" s="62">
      <c r="A30" s="54">
        <f>IF(B30="","",DATE(YEAR(TODAY()),MATCH(B30,{"January","February","March","April","May","June","July","August","September","October","November","December"},0),1))</f>
        <v/>
      </c>
      <c r="B30" s="33" t="n"/>
      <c r="C30" s="34">
        <f>IF(B30="","","Monthly Rent Charge")</f>
        <v/>
      </c>
      <c r="D30" s="34" t="n"/>
      <c r="E30" s="35">
        <f>IF(C30="Monthly Rent Charge",$D$3,"")</f>
        <v/>
      </c>
      <c r="F30" s="35">
        <f>IF(C30="Monthly Rent Charge",$F$3,"")</f>
        <v/>
      </c>
      <c r="G30" s="41" t="n"/>
      <c r="H30" s="34" t="n"/>
      <c r="I30" s="36">
        <f>IF(AND(A30="",C30=""),"",IF(C30="Payment Received",I29-IFERROR(G30,0),IF(C30="Monthly Rent Charge",I29+IFERROR(E30,0)+IFERROR(F30,0),IFERROR(I29,0))))</f>
        <v/>
      </c>
      <c r="J30" s="37" t="n"/>
    </row>
    <row r="31" ht="15" customHeight="1" s="62">
      <c r="A31" s="54">
        <f>IF(B31="","",DATE(YEAR(TODAY()),MATCH(B31,{"January","February","March","April","May","June","July","August","September","October","November","December"},0),1))</f>
        <v/>
      </c>
      <c r="B31" s="33" t="n"/>
      <c r="C31" s="34">
        <f>IF(B31="","","Monthly Rent Charge")</f>
        <v/>
      </c>
      <c r="D31" s="34" t="n"/>
      <c r="E31" s="35">
        <f>IF(C31="Monthly Rent Charge",$D$3,"")</f>
        <v/>
      </c>
      <c r="F31" s="35">
        <f>IF(C31="Monthly Rent Charge",$F$3,"")</f>
        <v/>
      </c>
      <c r="G31" s="41" t="n"/>
      <c r="H31" s="34" t="n"/>
      <c r="I31" s="36">
        <f>IF(AND(A31="",C31=""),"",IF(C31="Payment Received",I30-IFERROR(G31,0),IF(C31="Monthly Rent Charge",I30+IFERROR(E31,0)+IFERROR(F31,0),IFERROR(I30,0))))</f>
        <v/>
      </c>
      <c r="J31" s="37" t="n"/>
    </row>
    <row r="32" ht="15" customHeight="1" s="62">
      <c r="A32" s="54">
        <f>IF(B32="","",DATE(YEAR(TODAY()),MATCH(B32,{"January","February","March","April","May","June","July","August","September","October","November","December"},0),1))</f>
        <v/>
      </c>
      <c r="B32" s="33" t="n"/>
      <c r="C32" s="34">
        <f>IF(B32="","","Monthly Rent Charge")</f>
        <v/>
      </c>
      <c r="D32" s="34" t="n"/>
      <c r="E32" s="35">
        <f>IF(C32="Monthly Rent Charge",$D$3,"")</f>
        <v/>
      </c>
      <c r="F32" s="35">
        <f>IF(C32="Monthly Rent Charge",$F$3,"")</f>
        <v/>
      </c>
      <c r="G32" s="41" t="n"/>
      <c r="H32" s="34" t="n"/>
      <c r="I32" s="36">
        <f>IF(AND(A32="",C32=""),"",IF(C32="Payment Received",I31-IFERROR(G32,0),IF(C32="Monthly Rent Charge",I31+IFERROR(E32,0)+IFERROR(F32,0),IFERROR(I31,0))))</f>
        <v/>
      </c>
      <c r="J32" s="37" t="n"/>
    </row>
    <row r="33" ht="15" customHeight="1" s="62">
      <c r="A33" s="54">
        <f>IF(B33="","",DATE(YEAR(TODAY()),MATCH(B33,{"January","February","March","April","May","June","July","August","September","October","November","December"},0),1))</f>
        <v/>
      </c>
      <c r="B33" s="33" t="n"/>
      <c r="C33" s="34">
        <f>IF(B33="","","Monthly Rent Charge")</f>
        <v/>
      </c>
      <c r="D33" s="34" t="n"/>
      <c r="E33" s="35">
        <f>IF(C33="Monthly Rent Charge",$D$3,"")</f>
        <v/>
      </c>
      <c r="F33" s="35">
        <f>IF(C33="Monthly Rent Charge",$F$3,"")</f>
        <v/>
      </c>
      <c r="G33" s="41" t="n"/>
      <c r="H33" s="34" t="n"/>
      <c r="I33" s="36">
        <f>IF(AND(A33="",C33=""),"",IF(C33="Payment Received",I32-IFERROR(G33,0),IF(C33="Monthly Rent Charge",I32+IFERROR(E33,0)+IFERROR(F33,0),IFERROR(I32,0))))</f>
        <v/>
      </c>
      <c r="J33" s="37" t="n"/>
    </row>
    <row r="34" ht="15" customHeight="1" s="62">
      <c r="A34" s="54">
        <f>IF(B34="","",DATE(YEAR(TODAY()),MATCH(B34,{"January","February","March","April","May","June","July","August","September","October","November","December"},0),1))</f>
        <v/>
      </c>
      <c r="B34" s="33" t="n"/>
      <c r="C34" s="34">
        <f>IF(B34="","","Monthly Rent Charge")</f>
        <v/>
      </c>
      <c r="D34" s="34" t="n"/>
      <c r="E34" s="35">
        <f>IF(C34="Monthly Rent Charge",$D$3,"")</f>
        <v/>
      </c>
      <c r="F34" s="35">
        <f>IF(C34="Monthly Rent Charge",$F$3,"")</f>
        <v/>
      </c>
      <c r="G34" s="41" t="n"/>
      <c r="H34" s="34" t="n"/>
      <c r="I34" s="36">
        <f>IF(AND(A34="",C34=""),"",IF(C34="Payment Received",I33-IFERROR(G34,0),IF(C34="Monthly Rent Charge",I33+IFERROR(E34,0)+IFERROR(F34,0),IFERROR(I33,0))))</f>
        <v/>
      </c>
      <c r="J34" s="37" t="n"/>
    </row>
    <row r="35" ht="15" customHeight="1" s="62">
      <c r="A35" s="54">
        <f>IF(B35="","",DATE(YEAR(TODAY()),MATCH(B35,{"January","February","March","April","May","June","July","August","September","October","November","December"},0),1))</f>
        <v/>
      </c>
      <c r="B35" s="33" t="n"/>
      <c r="C35" s="34">
        <f>IF(B35="","","Monthly Rent Charge")</f>
        <v/>
      </c>
      <c r="D35" s="34" t="n"/>
      <c r="E35" s="35">
        <f>IF(C35="Monthly Rent Charge",$D$3,"")</f>
        <v/>
      </c>
      <c r="F35" s="35">
        <f>IF(C35="Monthly Rent Charge",$F$3,"")</f>
        <v/>
      </c>
      <c r="G35" s="41" t="n"/>
      <c r="H35" s="34" t="n"/>
      <c r="I35" s="36">
        <f>IF(AND(A35="",C35=""),"",IF(C35="Payment Received",I34-IFERROR(G35,0),IF(C35="Monthly Rent Charge",I34+IFERROR(E35,0)+IFERROR(F35,0),IFERROR(I34,0))))</f>
        <v/>
      </c>
      <c r="J35" s="37" t="n"/>
    </row>
    <row r="36" ht="15" customHeight="1" s="62">
      <c r="A36" s="54">
        <f>IF(B36="","",DATE(YEAR(TODAY()),MATCH(B36,{"January","February","March","April","May","June","July","August","September","October","November","December"},0),1))</f>
        <v/>
      </c>
      <c r="B36" s="33" t="n"/>
      <c r="C36" s="34">
        <f>IF(B36="","","Monthly Rent Charge")</f>
        <v/>
      </c>
      <c r="D36" s="34" t="n"/>
      <c r="E36" s="35">
        <f>IF(C36="Monthly Rent Charge",$D$3,"")</f>
        <v/>
      </c>
      <c r="F36" s="35">
        <f>IF(C36="Monthly Rent Charge",$F$3,"")</f>
        <v/>
      </c>
      <c r="G36" s="41" t="n"/>
      <c r="H36" s="34" t="n"/>
      <c r="I36" s="36">
        <f>IF(AND(A36="",C36=""),"",IF(C36="Payment Received",I35-IFERROR(G36,0),IF(C36="Monthly Rent Charge",I35+IFERROR(E36,0)+IFERROR(F36,0),IFERROR(I35,0))))</f>
        <v/>
      </c>
      <c r="J36" s="37" t="n"/>
    </row>
    <row r="37" ht="15" customHeight="1" s="62">
      <c r="A37" s="54">
        <f>IF(B37="","",DATE(YEAR(TODAY()),MATCH(B37,{"January","February","March","April","May","June","July","August","September","October","November","December"},0),1))</f>
        <v/>
      </c>
      <c r="B37" s="33" t="n"/>
      <c r="C37" s="34">
        <f>IF(B37="","","Monthly Rent Charge")</f>
        <v/>
      </c>
      <c r="D37" s="34" t="n"/>
      <c r="E37" s="35">
        <f>IF(C37="Monthly Rent Charge",$D$3,"")</f>
        <v/>
      </c>
      <c r="F37" s="35">
        <f>IF(C37="Monthly Rent Charge",$F$3,"")</f>
        <v/>
      </c>
      <c r="G37" s="41" t="n"/>
      <c r="H37" s="34" t="n"/>
      <c r="I37" s="36">
        <f>IF(AND(A37="",C37=""),"",IF(C37="Payment Received",I36-IFERROR(G37,0),IF(C37="Monthly Rent Charge",I36+IFERROR(E37,0)+IFERROR(F37,0),IFERROR(I36,0))))</f>
        <v/>
      </c>
      <c r="J37" s="37" t="n"/>
    </row>
    <row r="38" ht="15" customHeight="1" s="62">
      <c r="A38" s="54">
        <f>IF(B38="","",DATE(YEAR(TODAY()),MATCH(B38,{"January","February","March","April","May","June","July","August","September","October","November","December"},0),1))</f>
        <v/>
      </c>
      <c r="B38" s="33" t="n"/>
      <c r="C38" s="34">
        <f>IF(B38="","","Monthly Rent Charge")</f>
        <v/>
      </c>
      <c r="D38" s="34" t="n"/>
      <c r="E38" s="35">
        <f>IF(C38="Monthly Rent Charge",$D$3,"")</f>
        <v/>
      </c>
      <c r="F38" s="35">
        <f>IF(C38="Monthly Rent Charge",$F$3,"")</f>
        <v/>
      </c>
      <c r="G38" s="41" t="n"/>
      <c r="H38" s="34" t="n"/>
      <c r="I38" s="36">
        <f>IF(AND(A38="",C38=""),"",IF(C38="Payment Received",I37-IFERROR(G38,0),IF(C38="Monthly Rent Charge",I37+IFERROR(E38,0)+IFERROR(F38,0),IFERROR(I37,0))))</f>
        <v/>
      </c>
      <c r="J38" s="37" t="n"/>
    </row>
    <row r="39" ht="15" customHeight="1" s="62">
      <c r="A39" s="54">
        <f>IF(B39="","",DATE(YEAR(TODAY()),MATCH(B39,{"January","February","March","April","May","June","July","August","September","October","November","December"},0),1))</f>
        <v/>
      </c>
      <c r="B39" s="33" t="n"/>
      <c r="C39" s="34">
        <f>IF(B39="","","Monthly Rent Charge")</f>
        <v/>
      </c>
      <c r="D39" s="34" t="n"/>
      <c r="E39" s="35">
        <f>IF(C39="Monthly Rent Charge",$D$3,"")</f>
        <v/>
      </c>
      <c r="F39" s="35">
        <f>IF(C39="Monthly Rent Charge",$F$3,"")</f>
        <v/>
      </c>
      <c r="G39" s="41" t="n"/>
      <c r="H39" s="34" t="n"/>
      <c r="I39" s="36">
        <f>IF(AND(A39="",C39=""),"",IF(C39="Payment Received",I38-IFERROR(G39,0),IF(C39="Monthly Rent Charge",I38+IFERROR(E39,0)+IFERROR(F39,0),IFERROR(I38,0))))</f>
        <v/>
      </c>
      <c r="J39" s="37" t="n"/>
    </row>
    <row r="40" ht="15" customHeight="1" s="62">
      <c r="A40" s="54">
        <f>IF(B40="","",DATE(YEAR(TODAY()),MATCH(B40,{"January","February","March","April","May","June","July","August","September","October","November","December"},0),1))</f>
        <v/>
      </c>
      <c r="B40" s="33" t="n"/>
      <c r="C40" s="34">
        <f>IF(B40="","","Monthly Rent Charge")</f>
        <v/>
      </c>
      <c r="D40" s="34" t="n"/>
      <c r="E40" s="35">
        <f>IF(C40="Monthly Rent Charge",$D$3,"")</f>
        <v/>
      </c>
      <c r="F40" s="35">
        <f>IF(C40="Monthly Rent Charge",$F$3,"")</f>
        <v/>
      </c>
      <c r="G40" s="41" t="n"/>
      <c r="H40" s="34" t="n"/>
      <c r="I40" s="36">
        <f>IF(AND(A40="",C40=""),"",IF(C40="Payment Received",I39-IFERROR(G40,0),IF(C40="Monthly Rent Charge",I39+IFERROR(E40,0)+IFERROR(F40,0),IFERROR(I39,0))))</f>
        <v/>
      </c>
      <c r="J40" s="37" t="n"/>
    </row>
    <row r="41" ht="15" customHeight="1" s="62">
      <c r="A41" s="54">
        <f>IF(B41="","",DATE(YEAR(TODAY()),MATCH(B41,{"January","February","March","April","May","June","July","August","September","October","November","December"},0),1))</f>
        <v/>
      </c>
      <c r="B41" s="33" t="n"/>
      <c r="C41" s="34">
        <f>IF(B41="","","Monthly Rent Charge")</f>
        <v/>
      </c>
      <c r="D41" s="34" t="n"/>
      <c r="E41" s="35">
        <f>IF(C41="Monthly Rent Charge",$D$3,"")</f>
        <v/>
      </c>
      <c r="F41" s="35">
        <f>IF(C41="Monthly Rent Charge",$F$3,"")</f>
        <v/>
      </c>
      <c r="G41" s="41" t="n"/>
      <c r="H41" s="34" t="n"/>
      <c r="I41" s="36">
        <f>IF(AND(A41="",C41=""),"",IF(C41="Payment Received",I40-IFERROR(G41,0),IF(C41="Monthly Rent Charge",I40+IFERROR(E41,0)+IFERROR(F41,0),IFERROR(I40,0))))</f>
        <v/>
      </c>
      <c r="J41" s="37" t="n"/>
    </row>
    <row r="42" ht="15" customHeight="1" s="62">
      <c r="A42" s="54">
        <f>IF(B42="","",DATE(YEAR(TODAY()),MATCH(B42,{"January","February","March","April","May","June","July","August","September","October","November","December"},0),1))</f>
        <v/>
      </c>
      <c r="B42" s="33" t="n"/>
      <c r="C42" s="34">
        <f>IF(B42="","","Monthly Rent Charge")</f>
        <v/>
      </c>
      <c r="D42" s="34" t="n"/>
      <c r="E42" s="35">
        <f>IF(C42="Monthly Rent Charge",$D$3,"")</f>
        <v/>
      </c>
      <c r="F42" s="35">
        <f>IF(C42="Monthly Rent Charge",$F$3,"")</f>
        <v/>
      </c>
      <c r="G42" s="41" t="n"/>
      <c r="H42" s="34" t="n"/>
      <c r="I42" s="36">
        <f>IF(AND(A42="",C42=""),"",IF(C42="Payment Received",I41-IFERROR(G42,0),IF(C42="Monthly Rent Charge",I41+IFERROR(E42,0)+IFERROR(F42,0),IFERROR(I41,0))))</f>
        <v/>
      </c>
      <c r="J42" s="37" t="n"/>
    </row>
    <row r="43" ht="15" customHeight="1" s="62">
      <c r="A43" s="54">
        <f>IF(B43="","",DATE(YEAR(TODAY()),MATCH(B43,{"January","February","March","April","May","June","July","August","September","October","November","December"},0),1))</f>
        <v/>
      </c>
      <c r="B43" s="33" t="n"/>
      <c r="C43" s="34">
        <f>IF(B43="","","Monthly Rent Charge")</f>
        <v/>
      </c>
      <c r="D43" s="34" t="n"/>
      <c r="E43" s="35">
        <f>IF(C43="Monthly Rent Charge",$D$3,"")</f>
        <v/>
      </c>
      <c r="F43" s="35">
        <f>IF(C43="Monthly Rent Charge",$F$3,"")</f>
        <v/>
      </c>
      <c r="G43" s="41" t="n"/>
      <c r="H43" s="34" t="n"/>
      <c r="I43" s="36">
        <f>IF(AND(A43="",C43=""),"",IF(C43="Payment Received",I42-IFERROR(G43,0),IF(C43="Monthly Rent Charge",I42+IFERROR(E43,0)+IFERROR(F43,0),IFERROR(I42,0))))</f>
        <v/>
      </c>
      <c r="J43" s="37" t="n"/>
    </row>
    <row r="44" ht="15" customHeight="1" s="62">
      <c r="A44" s="54" t="n"/>
      <c r="B44" s="33" t="n"/>
      <c r="C44" s="34" t="n"/>
      <c r="D44" s="34" t="n"/>
      <c r="E44" s="35" t="n"/>
      <c r="F44" s="35" t="n"/>
      <c r="G44" s="41" t="n"/>
      <c r="H44" s="34" t="n"/>
      <c r="I44" s="36" t="n"/>
      <c r="J44" s="37" t="n"/>
    </row>
    <row r="45" ht="15" customHeight="1" s="62">
      <c r="A45" s="54" t="n"/>
      <c r="B45" s="33" t="n"/>
      <c r="C45" s="34" t="n"/>
      <c r="D45" s="34" t="n"/>
      <c r="E45" s="35" t="n"/>
      <c r="F45" s="35" t="n"/>
      <c r="G45" s="41" t="n"/>
      <c r="H45" s="34" t="n"/>
      <c r="I45" s="36" t="n"/>
      <c r="J45" s="37" t="n"/>
    </row>
    <row r="46" ht="15" customHeight="1" s="62">
      <c r="A46" s="54" t="n"/>
      <c r="B46" s="33" t="n"/>
      <c r="C46" s="34" t="n"/>
      <c r="D46" s="34" t="n"/>
      <c r="E46" s="35" t="n"/>
      <c r="F46" s="35" t="n"/>
      <c r="G46" s="41" t="n"/>
      <c r="H46" s="34" t="n"/>
      <c r="I46" s="36" t="n"/>
      <c r="J46" s="37" t="n"/>
    </row>
    <row r="47" ht="15" customHeight="1" s="62">
      <c r="A47" s="54" t="n"/>
      <c r="B47" s="33" t="n"/>
      <c r="C47" s="34" t="n"/>
      <c r="D47" s="34" t="n"/>
      <c r="E47" s="35" t="n"/>
      <c r="F47" s="35" t="n"/>
      <c r="G47" s="41" t="n"/>
      <c r="H47" s="34" t="n"/>
      <c r="I47" s="36" t="n"/>
      <c r="J47" s="37" t="n"/>
    </row>
    <row r="48" ht="15" customHeight="1" s="62">
      <c r="A48" s="54" t="n"/>
      <c r="B48" s="33" t="n"/>
      <c r="C48" s="34" t="n"/>
      <c r="D48" s="34" t="n"/>
      <c r="E48" s="35" t="n"/>
      <c r="F48" s="35" t="n"/>
      <c r="G48" s="41" t="n"/>
      <c r="H48" s="34" t="n"/>
      <c r="I48" s="36" t="n"/>
      <c r="J48" s="37" t="n"/>
    </row>
    <row r="49" ht="15" customHeight="1" s="62">
      <c r="A49" s="54" t="n"/>
      <c r="B49" s="33" t="n"/>
      <c r="C49" s="34" t="n"/>
      <c r="D49" s="34" t="n"/>
      <c r="E49" s="35" t="n"/>
      <c r="F49" s="35" t="n"/>
      <c r="G49" s="41" t="n"/>
      <c r="H49" s="34" t="n"/>
      <c r="I49" s="36" t="n"/>
      <c r="J49" s="37" t="n"/>
    </row>
    <row r="50" ht="15" customHeight="1" s="62">
      <c r="A50" s="54" t="n"/>
      <c r="B50" s="33" t="n"/>
      <c r="C50" s="34" t="n"/>
      <c r="D50" s="34" t="n"/>
      <c r="E50" s="35" t="n"/>
      <c r="F50" s="35" t="n"/>
      <c r="G50" s="41" t="n"/>
      <c r="H50" s="34" t="n"/>
      <c r="I50" s="36" t="n"/>
      <c r="J50" s="37" t="n"/>
    </row>
    <row r="51" ht="15" customHeight="1" s="62">
      <c r="A51" s="54" t="n"/>
      <c r="B51" s="33" t="n"/>
      <c r="C51" s="34" t="n"/>
      <c r="D51" s="34" t="n"/>
      <c r="E51" s="35" t="n"/>
      <c r="F51" s="35" t="n"/>
      <c r="G51" s="41" t="n"/>
      <c r="H51" s="34" t="n"/>
      <c r="I51" s="36" t="n"/>
      <c r="J51" s="37" t="n"/>
    </row>
    <row r="52" ht="15" customHeight="1" s="62">
      <c r="A52" s="54" t="n"/>
      <c r="B52" s="33" t="n"/>
      <c r="C52" s="34" t="n"/>
      <c r="D52" s="34" t="n"/>
      <c r="E52" s="35" t="n"/>
      <c r="F52" s="35" t="n"/>
      <c r="G52" s="41" t="n"/>
      <c r="H52" s="34" t="n"/>
      <c r="I52" s="36" t="n"/>
      <c r="J52" s="37" t="n"/>
    </row>
    <row r="53" ht="15" customHeight="1" s="62">
      <c r="A53" s="54" t="n"/>
      <c r="B53" s="33" t="n"/>
      <c r="C53" s="34" t="n"/>
      <c r="D53" s="34" t="n"/>
      <c r="E53" s="35" t="n"/>
      <c r="F53" s="35" t="n"/>
      <c r="G53" s="41" t="n"/>
      <c r="H53" s="34" t="n"/>
      <c r="I53" s="36" t="n"/>
      <c r="J53" s="37" t="n"/>
    </row>
    <row r="54" ht="15" customHeight="1" s="62">
      <c r="A54" s="54" t="n"/>
      <c r="B54" s="33" t="n"/>
      <c r="C54" s="34" t="n"/>
      <c r="D54" s="34" t="n"/>
      <c r="E54" s="35" t="n"/>
      <c r="F54" s="35" t="n"/>
      <c r="G54" s="41" t="n"/>
      <c r="H54" s="34" t="n"/>
      <c r="I54" s="36" t="n"/>
      <c r="J54" s="37" t="n"/>
    </row>
    <row r="55" ht="15" customHeight="1" s="62">
      <c r="A55" s="54" t="n"/>
      <c r="B55" s="33" t="n"/>
      <c r="C55" s="34" t="n"/>
      <c r="D55" s="34" t="n"/>
      <c r="E55" s="35" t="n"/>
      <c r="F55" s="35" t="n"/>
      <c r="G55" s="41" t="n"/>
      <c r="H55" s="34" t="n"/>
      <c r="I55" s="36" t="n"/>
      <c r="J55" s="37" t="n"/>
    </row>
    <row r="56" ht="15" customHeight="1" s="62">
      <c r="A56" s="54" t="n"/>
      <c r="B56" s="33" t="n"/>
      <c r="C56" s="34" t="n"/>
      <c r="D56" s="34" t="n"/>
      <c r="E56" s="35" t="n"/>
      <c r="F56" s="35" t="n"/>
      <c r="G56" s="41" t="n"/>
      <c r="H56" s="34" t="n"/>
      <c r="I56" s="36" t="n"/>
      <c r="J56" s="37" t="n"/>
    </row>
    <row r="57" ht="15" customHeight="1" s="62">
      <c r="A57" s="54" t="n"/>
      <c r="B57" s="33" t="n"/>
      <c r="C57" s="34" t="n"/>
      <c r="D57" s="34" t="n"/>
      <c r="E57" s="35" t="n"/>
      <c r="F57" s="35" t="n"/>
      <c r="G57" s="41" t="n"/>
      <c r="H57" s="34" t="n"/>
      <c r="I57" s="36" t="n"/>
      <c r="J57" s="37" t="n"/>
    </row>
    <row r="58" ht="15" customHeight="1" s="62">
      <c r="A58" s="54" t="n"/>
      <c r="B58" s="33" t="n"/>
      <c r="C58" s="34" t="n"/>
      <c r="D58" s="34" t="n"/>
      <c r="E58" s="35" t="n"/>
      <c r="F58" s="35" t="n"/>
      <c r="G58" s="41" t="n"/>
      <c r="H58" s="34" t="n"/>
      <c r="I58" s="36" t="n"/>
      <c r="J58" s="37" t="n"/>
    </row>
    <row r="59" ht="15" customHeight="1" s="62">
      <c r="A59" s="54" t="n"/>
      <c r="B59" s="33" t="n"/>
      <c r="C59" s="34" t="n"/>
      <c r="D59" s="34" t="n"/>
      <c r="E59" s="35" t="n"/>
      <c r="F59" s="35" t="n"/>
      <c r="G59" s="41" t="n"/>
      <c r="H59" s="34" t="n"/>
      <c r="I59" s="36" t="n"/>
      <c r="J59" s="37" t="n"/>
    </row>
    <row r="60" ht="15" customHeight="1" s="62">
      <c r="A60" s="54" t="n"/>
      <c r="B60" s="33" t="n"/>
      <c r="C60" s="34" t="n"/>
      <c r="D60" s="34" t="n"/>
      <c r="E60" s="35" t="n"/>
      <c r="F60" s="35" t="n"/>
      <c r="G60" s="41" t="n"/>
      <c r="H60" s="34" t="n"/>
      <c r="I60" s="36" t="n"/>
      <c r="J60" s="37" t="n"/>
    </row>
    <row r="61" ht="15" customHeight="1" s="62">
      <c r="A61" s="54" t="n"/>
      <c r="B61" s="33" t="n"/>
      <c r="C61" s="34" t="n"/>
      <c r="D61" s="34" t="n"/>
      <c r="E61" s="35" t="n"/>
      <c r="F61" s="35" t="n"/>
      <c r="G61" s="41" t="n"/>
      <c r="H61" s="34" t="n"/>
      <c r="I61" s="36" t="n"/>
      <c r="J61" s="37" t="n"/>
    </row>
    <row r="62" ht="15" customHeight="1" s="62">
      <c r="A62" s="54" t="n"/>
      <c r="B62" s="33" t="n"/>
      <c r="C62" s="34" t="n"/>
      <c r="D62" s="34" t="n"/>
      <c r="E62" s="35" t="n"/>
      <c r="F62" s="35" t="n"/>
      <c r="G62" s="41" t="n"/>
      <c r="H62" s="34" t="n"/>
      <c r="I62" s="36" t="n"/>
      <c r="J62" s="37" t="n"/>
    </row>
    <row r="63" ht="15" customHeight="1" s="62">
      <c r="A63" s="54" t="n"/>
      <c r="B63" s="33" t="n"/>
      <c r="C63" s="34" t="n"/>
      <c r="D63" s="34" t="n"/>
      <c r="E63" s="35" t="n"/>
      <c r="F63" s="35" t="n"/>
      <c r="G63" s="41" t="n"/>
      <c r="H63" s="34" t="n"/>
      <c r="I63" s="36" t="n"/>
      <c r="J63" s="37" t="n"/>
    </row>
    <row r="64" ht="15" customHeight="1" s="62">
      <c r="A64" s="54" t="n"/>
      <c r="B64" s="33" t="n"/>
      <c r="C64" s="34" t="n"/>
      <c r="D64" s="34" t="n"/>
      <c r="E64" s="35" t="n"/>
      <c r="F64" s="35" t="n"/>
      <c r="G64" s="41" t="n"/>
      <c r="H64" s="34" t="n"/>
      <c r="I64" s="36" t="n"/>
      <c r="J64" s="37" t="n"/>
    </row>
    <row r="65" ht="15" customHeight="1" s="62">
      <c r="A65" s="54" t="n"/>
      <c r="B65" s="33" t="n"/>
      <c r="C65" s="34" t="n"/>
      <c r="D65" s="34" t="n"/>
      <c r="E65" s="35" t="n"/>
      <c r="F65" s="35" t="n"/>
      <c r="G65" s="41" t="n"/>
      <c r="H65" s="34" t="n"/>
      <c r="I65" s="36" t="n"/>
      <c r="J65" s="37" t="n"/>
    </row>
    <row r="66" ht="15" customHeight="1" s="62">
      <c r="A66" s="54" t="n"/>
      <c r="B66" s="33" t="n"/>
      <c r="C66" s="34" t="n"/>
      <c r="D66" s="34" t="n"/>
      <c r="E66" s="35" t="n"/>
      <c r="F66" s="35" t="n"/>
      <c r="G66" s="41" t="n"/>
      <c r="H66" s="34" t="n"/>
      <c r="I66" s="36" t="n"/>
      <c r="J66" s="37" t="n"/>
    </row>
    <row r="67" ht="15" customHeight="1" s="62">
      <c r="A67" s="54" t="n"/>
      <c r="B67" s="33" t="n"/>
      <c r="C67" s="34" t="n"/>
      <c r="D67" s="34" t="n"/>
      <c r="E67" s="35" t="n"/>
      <c r="F67" s="35" t="n"/>
      <c r="G67" s="41" t="n"/>
      <c r="H67" s="34" t="n"/>
      <c r="I67" s="36" t="n"/>
      <c r="J67" s="37" t="n"/>
    </row>
    <row r="68" ht="15" customHeight="1" s="62">
      <c r="A68" s="54" t="n"/>
      <c r="B68" s="33" t="n"/>
      <c r="C68" s="34" t="n"/>
      <c r="D68" s="34" t="n"/>
      <c r="E68" s="35" t="n"/>
      <c r="F68" s="35" t="n"/>
      <c r="G68" s="41" t="n"/>
      <c r="H68" s="34" t="n"/>
      <c r="I68" s="36" t="n"/>
      <c r="J68" s="37" t="n"/>
    </row>
    <row r="69" ht="15" customHeight="1" s="62">
      <c r="A69" s="54" t="n"/>
      <c r="B69" s="33" t="n"/>
      <c r="C69" s="34" t="n"/>
      <c r="D69" s="34" t="n"/>
      <c r="E69" s="35" t="n"/>
      <c r="F69" s="35" t="n"/>
      <c r="G69" s="41" t="n"/>
      <c r="H69" s="34" t="n"/>
      <c r="I69" s="36" t="n"/>
      <c r="J69" s="37" t="n"/>
    </row>
    <row r="70" ht="15" customHeight="1" s="62">
      <c r="A70" s="54" t="n"/>
      <c r="B70" s="33" t="n"/>
      <c r="C70" s="34" t="n"/>
      <c r="D70" s="34" t="n"/>
      <c r="E70" s="35" t="n"/>
      <c r="F70" s="35" t="n"/>
      <c r="G70" s="41" t="n"/>
      <c r="H70" s="34" t="n"/>
      <c r="I70" s="36" t="n"/>
      <c r="J70" s="37" t="n"/>
    </row>
    <row r="71" ht="15" customHeight="1" s="62">
      <c r="A71" s="54" t="n"/>
      <c r="B71" s="33" t="n"/>
      <c r="C71" s="34" t="n"/>
      <c r="D71" s="34" t="n"/>
      <c r="E71" s="35" t="n"/>
      <c r="F71" s="35" t="n"/>
      <c r="G71" s="41" t="n"/>
      <c r="H71" s="34" t="n"/>
      <c r="I71" s="36" t="n"/>
      <c r="J71" s="37" t="n"/>
    </row>
    <row r="72" ht="15" customHeight="1" s="62">
      <c r="A72" s="54" t="n"/>
      <c r="B72" s="33" t="n"/>
      <c r="C72" s="34" t="n"/>
      <c r="D72" s="34" t="n"/>
      <c r="E72" s="35" t="n"/>
      <c r="F72" s="35" t="n"/>
      <c r="G72" s="41" t="n"/>
      <c r="H72" s="34" t="n"/>
      <c r="I72" s="36" t="n"/>
      <c r="J72" s="37" t="n"/>
    </row>
    <row r="73" ht="15" customHeight="1" s="62">
      <c r="A73" s="54" t="n"/>
      <c r="B73" s="33" t="n"/>
      <c r="C73" s="34" t="n"/>
      <c r="D73" s="34" t="n"/>
      <c r="E73" s="35" t="n"/>
      <c r="F73" s="35" t="n"/>
      <c r="G73" s="41" t="n"/>
      <c r="H73" s="34" t="n"/>
      <c r="I73" s="36" t="n"/>
      <c r="J73" s="37" t="n"/>
    </row>
    <row r="74" ht="15" customHeight="1" s="62">
      <c r="A74" s="54" t="n"/>
      <c r="B74" s="33" t="n"/>
      <c r="C74" s="34" t="n"/>
      <c r="D74" s="34" t="n"/>
      <c r="E74" s="35" t="n"/>
      <c r="F74" s="35" t="n"/>
      <c r="G74" s="41" t="n"/>
      <c r="H74" s="34" t="n"/>
      <c r="I74" s="36" t="n"/>
      <c r="J74" s="37" t="n"/>
    </row>
    <row r="75" ht="15" customHeight="1" s="62">
      <c r="A75" s="54" t="n"/>
      <c r="B75" s="33" t="n"/>
      <c r="C75" s="34" t="n"/>
      <c r="D75" s="34" t="n"/>
      <c r="E75" s="35" t="n"/>
      <c r="F75" s="35" t="n"/>
      <c r="G75" s="41" t="n"/>
      <c r="H75" s="34" t="n"/>
      <c r="I75" s="36" t="n"/>
      <c r="J75" s="37" t="n"/>
    </row>
    <row r="76" ht="15" customHeight="1" s="62">
      <c r="A76" s="54" t="n"/>
      <c r="B76" s="33" t="n"/>
      <c r="C76" s="34" t="n"/>
      <c r="D76" s="34" t="n"/>
      <c r="E76" s="35" t="n"/>
      <c r="F76" s="35" t="n"/>
      <c r="G76" s="41" t="n"/>
      <c r="H76" s="34" t="n"/>
      <c r="I76" s="36" t="n"/>
      <c r="J76" s="37" t="n"/>
    </row>
    <row r="77" ht="15" customHeight="1" s="62">
      <c r="A77" s="54" t="n"/>
      <c r="B77" s="33" t="n"/>
      <c r="C77" s="34" t="n"/>
      <c r="D77" s="34" t="n"/>
      <c r="E77" s="35" t="n"/>
      <c r="F77" s="35" t="n"/>
      <c r="G77" s="41" t="n"/>
      <c r="H77" s="34" t="n"/>
      <c r="I77" s="36" t="n"/>
      <c r="J77" s="37" t="n"/>
    </row>
    <row r="78" ht="15" customHeight="1" s="62">
      <c r="A78" s="54" t="n"/>
      <c r="B78" s="33" t="n"/>
      <c r="C78" s="34" t="n"/>
      <c r="D78" s="34" t="n"/>
      <c r="E78" s="35" t="n"/>
      <c r="F78" s="35" t="n"/>
      <c r="G78" s="41" t="n"/>
      <c r="H78" s="34" t="n"/>
      <c r="I78" s="36" t="n"/>
      <c r="J78" s="37" t="n"/>
    </row>
    <row r="79" ht="15" customHeight="1" s="62">
      <c r="A79" s="54" t="n"/>
      <c r="B79" s="33" t="n"/>
      <c r="C79" s="34" t="n"/>
      <c r="D79" s="34" t="n"/>
      <c r="E79" s="35" t="n"/>
      <c r="F79" s="35" t="n"/>
      <c r="G79" s="41" t="n"/>
      <c r="H79" s="34" t="n"/>
      <c r="I79" s="36" t="n"/>
      <c r="J79" s="37" t="n"/>
    </row>
    <row r="80" ht="15" customHeight="1" s="62">
      <c r="A80" s="54" t="n"/>
      <c r="B80" s="33" t="n"/>
      <c r="C80" s="34" t="n"/>
      <c r="D80" s="34" t="n"/>
      <c r="E80" s="35" t="n"/>
      <c r="F80" s="35" t="n"/>
      <c r="G80" s="41" t="n"/>
      <c r="H80" s="34" t="n"/>
      <c r="I80" s="36" t="n"/>
      <c r="J80" s="37" t="n"/>
    </row>
    <row r="81" ht="15" customHeight="1" s="62">
      <c r="A81" s="54" t="n"/>
      <c r="B81" s="33" t="n"/>
      <c r="C81" s="34" t="n"/>
      <c r="D81" s="34" t="n"/>
      <c r="E81" s="35" t="n"/>
      <c r="F81" s="35" t="n"/>
      <c r="G81" s="41" t="n"/>
      <c r="H81" s="34" t="n"/>
      <c r="I81" s="36" t="n"/>
      <c r="J81" s="37" t="n"/>
    </row>
    <row r="82" ht="15" customHeight="1" s="62">
      <c r="A82" s="54" t="n"/>
      <c r="B82" s="33" t="n"/>
      <c r="C82" s="34" t="n"/>
      <c r="D82" s="34" t="n"/>
      <c r="E82" s="35" t="n"/>
      <c r="F82" s="35" t="n"/>
      <c r="G82" s="41" t="n"/>
      <c r="H82" s="34" t="n"/>
      <c r="I82" s="36" t="n"/>
      <c r="J82" s="37" t="n"/>
    </row>
    <row r="83" ht="15" customHeight="1" s="62">
      <c r="A83" s="54" t="n"/>
      <c r="B83" s="33" t="n"/>
      <c r="C83" s="34" t="n"/>
      <c r="D83" s="34" t="n"/>
      <c r="E83" s="35" t="n"/>
      <c r="F83" s="35" t="n"/>
      <c r="G83" s="41" t="n"/>
      <c r="H83" s="34" t="n"/>
      <c r="I83" s="36" t="n"/>
      <c r="J83" s="37" t="n"/>
    </row>
    <row r="84" ht="15" customHeight="1" s="62">
      <c r="A84" s="54" t="n"/>
      <c r="B84" s="33" t="n"/>
      <c r="C84" s="34" t="n"/>
      <c r="D84" s="34" t="n"/>
      <c r="E84" s="35" t="n"/>
      <c r="F84" s="35" t="n"/>
      <c r="G84" s="41" t="n"/>
      <c r="H84" s="34" t="n"/>
      <c r="I84" s="36" t="n"/>
      <c r="J84" s="37" t="n"/>
    </row>
    <row r="85" ht="15" customHeight="1" s="62">
      <c r="A85" s="54" t="n"/>
      <c r="B85" s="33" t="n"/>
      <c r="C85" s="34" t="n"/>
      <c r="D85" s="34" t="n"/>
      <c r="E85" s="35" t="n"/>
      <c r="F85" s="35" t="n"/>
      <c r="G85" s="41" t="n"/>
      <c r="H85" s="34" t="n"/>
      <c r="I85" s="36" t="n"/>
      <c r="J85" s="37" t="n"/>
    </row>
    <row r="86" ht="15" customHeight="1" s="62">
      <c r="A86" s="54" t="n"/>
      <c r="B86" s="33" t="n"/>
      <c r="C86" s="34" t="n"/>
      <c r="D86" s="34" t="n"/>
      <c r="E86" s="35" t="n"/>
      <c r="F86" s="35" t="n"/>
      <c r="G86" s="41" t="n"/>
      <c r="H86" s="34" t="n"/>
      <c r="I86" s="36" t="n"/>
      <c r="J86" s="37" t="n"/>
    </row>
    <row r="87" ht="15" customHeight="1" s="62">
      <c r="A87" s="54" t="n"/>
      <c r="B87" s="33" t="n"/>
      <c r="C87" s="34" t="n"/>
      <c r="D87" s="34" t="n"/>
      <c r="E87" s="35" t="n"/>
      <c r="F87" s="35" t="n"/>
      <c r="G87" s="41" t="n"/>
      <c r="H87" s="34" t="n"/>
      <c r="I87" s="36" t="n"/>
      <c r="J87" s="37" t="n"/>
    </row>
    <row r="88" ht="15" customHeight="1" s="62">
      <c r="A88" s="54" t="n"/>
      <c r="B88" s="33" t="n"/>
      <c r="C88" s="34" t="n"/>
      <c r="D88" s="34" t="n"/>
      <c r="E88" s="35" t="n"/>
      <c r="F88" s="35" t="n"/>
      <c r="G88" s="41" t="n"/>
      <c r="H88" s="34" t="n"/>
      <c r="I88" s="36" t="n"/>
      <c r="J88" s="37" t="n"/>
    </row>
    <row r="89" ht="15" customHeight="1" s="62">
      <c r="A89" s="54" t="n"/>
      <c r="B89" s="33" t="n"/>
      <c r="C89" s="34" t="n"/>
      <c r="D89" s="34" t="n"/>
      <c r="E89" s="35" t="n"/>
      <c r="F89" s="35" t="n"/>
      <c r="G89" s="41" t="n"/>
      <c r="H89" s="34" t="n"/>
      <c r="I89" s="36" t="n"/>
      <c r="J89" s="37" t="n"/>
    </row>
    <row r="90" ht="15" customHeight="1" s="62">
      <c r="A90" s="54" t="n"/>
      <c r="B90" s="33" t="n"/>
      <c r="C90" s="34" t="n"/>
      <c r="D90" s="34" t="n"/>
      <c r="E90" s="35" t="n"/>
      <c r="F90" s="35" t="n"/>
      <c r="G90" s="41" t="n"/>
      <c r="H90" s="34" t="n"/>
      <c r="I90" s="36" t="n"/>
      <c r="J90" s="37" t="n"/>
    </row>
    <row r="91" ht="15" customHeight="1" s="62">
      <c r="A91" s="54" t="n"/>
      <c r="B91" s="33" t="n"/>
      <c r="C91" s="34" t="n"/>
      <c r="D91" s="34" t="n"/>
      <c r="E91" s="35" t="n"/>
      <c r="F91" s="35" t="n"/>
      <c r="G91" s="41" t="n"/>
      <c r="H91" s="34" t="n"/>
      <c r="I91" s="36" t="n"/>
      <c r="J91" s="37" t="n"/>
    </row>
    <row r="92" ht="15" customHeight="1" s="62">
      <c r="A92" s="54" t="n"/>
      <c r="B92" s="33" t="n"/>
      <c r="C92" s="34" t="n"/>
      <c r="D92" s="34" t="n"/>
      <c r="E92" s="35" t="n"/>
      <c r="F92" s="35" t="n"/>
      <c r="G92" s="41" t="n"/>
      <c r="H92" s="34" t="n"/>
      <c r="I92" s="36" t="n"/>
      <c r="J92" s="37" t="n"/>
    </row>
    <row r="93" ht="15" customHeight="1" s="62">
      <c r="A93" s="54" t="n"/>
      <c r="B93" s="33" t="n"/>
      <c r="C93" s="34" t="n"/>
      <c r="D93" s="34" t="n"/>
      <c r="E93" s="35" t="n"/>
      <c r="F93" s="35" t="n"/>
      <c r="G93" s="41" t="n"/>
      <c r="H93" s="34" t="n"/>
      <c r="I93" s="36" t="n"/>
      <c r="J93" s="37" t="n"/>
    </row>
    <row r="94" ht="15" customHeight="1" s="62">
      <c r="A94" s="54" t="n"/>
      <c r="B94" s="33" t="n"/>
      <c r="C94" s="34" t="n"/>
      <c r="D94" s="34" t="n"/>
      <c r="E94" s="35" t="n"/>
      <c r="F94" s="35" t="n"/>
      <c r="G94" s="41" t="n"/>
      <c r="H94" s="34" t="n"/>
      <c r="I94" s="36" t="n"/>
      <c r="J94" s="37" t="n"/>
    </row>
    <row r="95" ht="15" customHeight="1" s="62">
      <c r="A95" s="54" t="n"/>
      <c r="B95" s="33" t="n"/>
      <c r="C95" s="34" t="n"/>
      <c r="D95" s="34" t="n"/>
      <c r="E95" s="35" t="n"/>
      <c r="F95" s="35" t="n"/>
      <c r="G95" s="41" t="n"/>
      <c r="H95" s="34" t="n"/>
      <c r="I95" s="36" t="n"/>
      <c r="J95" s="37" t="n"/>
    </row>
    <row r="96" ht="15" customHeight="1" s="62">
      <c r="A96" s="54" t="n"/>
      <c r="B96" s="33" t="n"/>
      <c r="C96" s="34" t="n"/>
      <c r="D96" s="34" t="n"/>
      <c r="E96" s="35" t="n"/>
      <c r="F96" s="35" t="n"/>
      <c r="G96" s="41" t="n"/>
      <c r="H96" s="34" t="n"/>
      <c r="I96" s="36" t="n"/>
      <c r="J96" s="37" t="n"/>
    </row>
    <row r="97" ht="15" customHeight="1" s="62">
      <c r="A97" s="54" t="n"/>
      <c r="B97" s="33" t="n"/>
      <c r="C97" s="34" t="n"/>
      <c r="D97" s="34" t="n"/>
      <c r="E97" s="35" t="n"/>
      <c r="F97" s="35" t="n"/>
      <c r="G97" s="41" t="n"/>
      <c r="H97" s="34" t="n"/>
      <c r="I97" s="36" t="n"/>
      <c r="J97" s="37" t="n"/>
    </row>
    <row r="98" ht="15" customHeight="1" s="62">
      <c r="A98" s="54" t="n"/>
      <c r="B98" s="33" t="n"/>
      <c r="C98" s="34" t="n"/>
      <c r="D98" s="34" t="n"/>
      <c r="E98" s="35" t="n"/>
      <c r="F98" s="35" t="n"/>
      <c r="G98" s="41" t="n"/>
      <c r="H98" s="34" t="n"/>
      <c r="I98" s="36" t="n"/>
      <c r="J98" s="37" t="n"/>
    </row>
    <row r="99" ht="15" customHeight="1" s="62">
      <c r="A99" s="54" t="n"/>
      <c r="B99" s="33" t="n"/>
      <c r="C99" s="34" t="n"/>
      <c r="D99" s="34" t="n"/>
      <c r="E99" s="35" t="n"/>
      <c r="F99" s="35" t="n"/>
      <c r="G99" s="41" t="n"/>
      <c r="H99" s="34" t="n"/>
      <c r="I99" s="36" t="n"/>
      <c r="J99" s="37" t="n"/>
    </row>
    <row r="100" ht="15" customHeight="1" s="62">
      <c r="A100" s="54" t="n"/>
      <c r="B100" s="33" t="n"/>
      <c r="C100" s="34" t="n"/>
      <c r="D100" s="34" t="n"/>
      <c r="E100" s="35" t="n"/>
      <c r="F100" s="35" t="n"/>
      <c r="G100" s="41" t="n"/>
      <c r="H100" s="34" t="n"/>
      <c r="I100" s="36" t="n"/>
      <c r="J100" s="37" t="n"/>
    </row>
    <row r="101" ht="15" customHeight="1" s="62">
      <c r="A101" s="54" t="n"/>
      <c r="B101" s="33" t="n"/>
      <c r="C101" s="34" t="n"/>
      <c r="D101" s="34" t="n"/>
      <c r="E101" s="35" t="n"/>
      <c r="F101" s="35" t="n"/>
      <c r="G101" s="41" t="n"/>
      <c r="H101" s="34" t="n"/>
      <c r="I101" s="36" t="n"/>
      <c r="J101" s="37" t="n"/>
    </row>
    <row r="102" ht="15" customHeight="1" s="62">
      <c r="A102" s="54" t="n"/>
      <c r="B102" s="33" t="n"/>
      <c r="C102" s="34" t="n"/>
      <c r="D102" s="34" t="n"/>
      <c r="E102" s="35" t="n"/>
      <c r="F102" s="35" t="n"/>
      <c r="G102" s="41" t="n"/>
      <c r="H102" s="34" t="n"/>
      <c r="I102" s="36" t="n"/>
      <c r="J102" s="37" t="n"/>
    </row>
    <row r="103" ht="15" customHeight="1" s="62">
      <c r="A103" s="54" t="n"/>
      <c r="B103" s="33" t="n"/>
      <c r="C103" s="34" t="n"/>
      <c r="D103" s="34" t="n"/>
      <c r="E103" s="35" t="n"/>
      <c r="F103" s="35" t="n"/>
      <c r="G103" s="41" t="n"/>
      <c r="H103" s="34" t="n"/>
      <c r="I103" s="36" t="n"/>
      <c r="J103" s="37" t="n"/>
    </row>
    <row r="104" ht="15" customHeight="1" s="62">
      <c r="A104" s="54" t="n"/>
      <c r="B104" s="33" t="n"/>
      <c r="C104" s="34" t="n"/>
      <c r="D104" s="34" t="n"/>
      <c r="E104" s="35" t="n"/>
      <c r="F104" s="35" t="n"/>
      <c r="G104" s="41" t="n"/>
      <c r="H104" s="34" t="n"/>
      <c r="I104" s="36" t="n"/>
      <c r="J104" s="37" t="n"/>
    </row>
    <row r="105" ht="15" customHeight="1" s="62">
      <c r="A105" s="54" t="n"/>
      <c r="B105" s="33" t="n"/>
      <c r="C105" s="34" t="n"/>
      <c r="D105" s="34" t="n"/>
      <c r="E105" s="35" t="n"/>
      <c r="F105" s="35" t="n"/>
      <c r="G105" s="41" t="n"/>
      <c r="H105" s="34" t="n"/>
      <c r="I105" s="36" t="n"/>
      <c r="J105" s="37" t="n"/>
    </row>
    <row r="106" ht="15" customHeight="1" s="62">
      <c r="A106" s="54" t="n"/>
      <c r="B106" s="33" t="n"/>
      <c r="C106" s="34" t="n"/>
      <c r="D106" s="34" t="n"/>
      <c r="E106" s="35" t="n"/>
      <c r="F106" s="35" t="n"/>
      <c r="G106" s="41" t="n"/>
      <c r="H106" s="34" t="n"/>
      <c r="I106" s="36" t="n"/>
      <c r="J106" s="37" t="n"/>
    </row>
    <row r="107" ht="15" customHeight="1" s="62">
      <c r="A107" s="54" t="n"/>
      <c r="B107" s="33" t="n"/>
      <c r="C107" s="34" t="n"/>
      <c r="D107" s="34" t="n"/>
      <c r="E107" s="35" t="n"/>
      <c r="F107" s="35" t="n"/>
      <c r="G107" s="41" t="n"/>
      <c r="H107" s="34" t="n"/>
      <c r="I107" s="36" t="n"/>
      <c r="J107" s="37" t="n"/>
    </row>
    <row r="108" ht="15" customHeight="1" s="62">
      <c r="A108" s="54" t="n"/>
      <c r="B108" s="33" t="n"/>
      <c r="C108" s="34" t="n"/>
      <c r="D108" s="34" t="n"/>
      <c r="E108" s="35" t="n"/>
      <c r="F108" s="35" t="n"/>
      <c r="G108" s="41" t="n"/>
      <c r="H108" s="34" t="n"/>
      <c r="I108" s="36" t="n"/>
      <c r="J108" s="37" t="n"/>
    </row>
    <row r="109" ht="15" customHeight="1" s="62">
      <c r="A109" s="54" t="n"/>
      <c r="B109" s="33" t="n"/>
      <c r="C109" s="34" t="n"/>
      <c r="D109" s="34" t="n"/>
      <c r="E109" s="35" t="n"/>
      <c r="F109" s="35" t="n"/>
      <c r="G109" s="41" t="n"/>
      <c r="H109" s="34" t="n"/>
      <c r="I109" s="36" t="n"/>
      <c r="J109" s="37" t="n"/>
    </row>
    <row r="110" ht="15" customHeight="1" s="62">
      <c r="A110" s="54" t="n"/>
      <c r="B110" s="33" t="n"/>
      <c r="C110" s="34" t="n"/>
      <c r="D110" s="34" t="n"/>
      <c r="E110" s="35" t="n"/>
      <c r="F110" s="35" t="n"/>
      <c r="G110" s="41" t="n"/>
      <c r="H110" s="34" t="n"/>
      <c r="I110" s="36" t="n"/>
      <c r="J110" s="37" t="n"/>
    </row>
    <row r="111" ht="15" customHeight="1" s="62">
      <c r="A111" s="54" t="n"/>
      <c r="B111" s="33" t="n"/>
      <c r="C111" s="34" t="n"/>
      <c r="D111" s="34" t="n"/>
      <c r="E111" s="35" t="n"/>
      <c r="F111" s="35" t="n"/>
      <c r="G111" s="41" t="n"/>
      <c r="H111" s="34" t="n"/>
      <c r="I111" s="36" t="n"/>
      <c r="J111" s="37" t="n"/>
    </row>
    <row r="112" ht="15" customHeight="1" s="62">
      <c r="A112" s="54" t="n"/>
      <c r="B112" s="33" t="n"/>
      <c r="C112" s="34" t="n"/>
      <c r="D112" s="34" t="n"/>
      <c r="E112" s="35" t="n"/>
      <c r="F112" s="35" t="n"/>
      <c r="G112" s="41" t="n"/>
      <c r="H112" s="34" t="n"/>
      <c r="I112" s="36" t="n"/>
      <c r="J112" s="37" t="n"/>
    </row>
    <row r="113" ht="15" customHeight="1" s="62">
      <c r="A113" s="54" t="n"/>
      <c r="B113" s="33" t="n"/>
      <c r="C113" s="34" t="n"/>
      <c r="D113" s="34" t="n"/>
      <c r="E113" s="35" t="n"/>
      <c r="F113" s="35" t="n"/>
      <c r="G113" s="41" t="n"/>
      <c r="H113" s="34" t="n"/>
      <c r="I113" s="36" t="n"/>
      <c r="J113" s="37" t="n"/>
    </row>
    <row r="114" ht="15" customHeight="1" s="62">
      <c r="A114" s="54" t="n"/>
      <c r="B114" s="33" t="n"/>
      <c r="C114" s="34" t="n"/>
      <c r="D114" s="34" t="n"/>
      <c r="E114" s="35" t="n"/>
      <c r="F114" s="35" t="n"/>
      <c r="G114" s="41" t="n"/>
      <c r="H114" s="34" t="n"/>
      <c r="I114" s="36" t="n"/>
      <c r="J114" s="37" t="n"/>
    </row>
    <row r="115" ht="15" customHeight="1" s="62">
      <c r="A115" s="54" t="n"/>
      <c r="B115" s="33" t="n"/>
      <c r="C115" s="34" t="n"/>
      <c r="D115" s="34" t="n"/>
      <c r="E115" s="35" t="n"/>
      <c r="F115" s="35" t="n"/>
      <c r="G115" s="41" t="n"/>
      <c r="H115" s="34" t="n"/>
      <c r="I115" s="36" t="n"/>
      <c r="J115" s="37" t="n"/>
    </row>
    <row r="116" ht="15" customHeight="1" s="62">
      <c r="A116" s="54" t="n"/>
      <c r="B116" s="33" t="n"/>
      <c r="C116" s="34" t="n"/>
      <c r="D116" s="34" t="n"/>
      <c r="E116" s="35" t="n"/>
      <c r="F116" s="35" t="n"/>
      <c r="G116" s="41" t="n"/>
      <c r="H116" s="34" t="n"/>
      <c r="I116" s="36" t="n"/>
      <c r="J116" s="37" t="n"/>
    </row>
    <row r="117" ht="15" customHeight="1" s="62">
      <c r="A117" s="54" t="n"/>
      <c r="B117" s="33" t="n"/>
      <c r="C117" s="34" t="n"/>
      <c r="D117" s="34" t="n"/>
      <c r="E117" s="35" t="n"/>
      <c r="F117" s="35" t="n"/>
      <c r="G117" s="41" t="n"/>
      <c r="H117" s="34" t="n"/>
      <c r="I117" s="36" t="n"/>
      <c r="J117" s="37" t="n"/>
    </row>
    <row r="118" ht="15" customHeight="1" s="62">
      <c r="A118" s="54" t="n"/>
      <c r="B118" s="33" t="n"/>
      <c r="C118" s="34" t="n"/>
      <c r="D118" s="34" t="n"/>
      <c r="E118" s="35" t="n"/>
      <c r="F118" s="35" t="n"/>
      <c r="G118" s="41" t="n"/>
      <c r="H118" s="34" t="n"/>
      <c r="I118" s="36" t="n"/>
      <c r="J118" s="37" t="n"/>
    </row>
    <row r="119" ht="15" customHeight="1" s="62">
      <c r="A119" s="54" t="n"/>
      <c r="B119" s="33" t="n"/>
      <c r="C119" s="34" t="n"/>
      <c r="D119" s="34" t="n"/>
      <c r="E119" s="35" t="n"/>
      <c r="F119" s="35" t="n"/>
      <c r="G119" s="41" t="n"/>
      <c r="H119" s="34" t="n"/>
      <c r="I119" s="36" t="n"/>
      <c r="J119" s="37" t="n"/>
    </row>
    <row r="120" ht="15" customHeight="1" s="62">
      <c r="A120" s="54" t="n"/>
      <c r="B120" s="33" t="n"/>
      <c r="C120" s="34" t="n"/>
      <c r="D120" s="34" t="n"/>
      <c r="E120" s="35" t="n"/>
      <c r="F120" s="35" t="n"/>
      <c r="G120" s="41" t="n"/>
      <c r="H120" s="34" t="n"/>
      <c r="I120" s="36" t="n"/>
      <c r="J120" s="37" t="n"/>
    </row>
    <row r="121" ht="15" customHeight="1" s="62">
      <c r="A121" s="54" t="n"/>
      <c r="B121" s="33" t="n"/>
      <c r="C121" s="34" t="n"/>
      <c r="D121" s="34" t="n"/>
      <c r="E121" s="35" t="n"/>
      <c r="F121" s="35" t="n"/>
      <c r="G121" s="41" t="n"/>
      <c r="H121" s="34" t="n"/>
      <c r="I121" s="36" t="n"/>
      <c r="J121" s="37" t="n"/>
    </row>
    <row r="122" ht="15" customHeight="1" s="62">
      <c r="A122" s="54" t="n"/>
      <c r="B122" s="33" t="n"/>
      <c r="C122" s="34" t="n"/>
      <c r="D122" s="34" t="n"/>
      <c r="E122" s="35" t="n"/>
      <c r="F122" s="35" t="n"/>
      <c r="G122" s="41" t="n"/>
      <c r="H122" s="34" t="n"/>
      <c r="I122" s="36" t="n"/>
      <c r="J122" s="37" t="n"/>
    </row>
    <row r="123" ht="15" customHeight="1" s="62">
      <c r="A123" s="54" t="n"/>
      <c r="B123" s="33" t="n"/>
      <c r="C123" s="34" t="n"/>
      <c r="D123" s="34" t="n"/>
      <c r="E123" s="35" t="n"/>
      <c r="F123" s="35" t="n"/>
      <c r="G123" s="41" t="n"/>
      <c r="H123" s="34" t="n"/>
      <c r="I123" s="36" t="n"/>
      <c r="J123" s="37" t="n"/>
    </row>
    <row r="124" ht="15" customHeight="1" s="62">
      <c r="A124" s="54" t="n"/>
      <c r="B124" s="33" t="n"/>
      <c r="C124" s="34" t="n"/>
      <c r="D124" s="34" t="n"/>
      <c r="E124" s="35" t="n"/>
      <c r="F124" s="35" t="n"/>
      <c r="G124" s="41" t="n"/>
      <c r="H124" s="34" t="n"/>
      <c r="I124" s="36" t="n"/>
      <c r="J124" s="37" t="n"/>
    </row>
    <row r="125" ht="15" customHeight="1" s="62">
      <c r="A125" s="54" t="n"/>
      <c r="B125" s="33" t="n"/>
      <c r="C125" s="34" t="n"/>
      <c r="D125" s="34" t="n"/>
      <c r="E125" s="35" t="n"/>
      <c r="F125" s="35" t="n"/>
      <c r="G125" s="41" t="n"/>
      <c r="H125" s="34" t="n"/>
      <c r="I125" s="36" t="n"/>
      <c r="J125" s="37" t="n"/>
    </row>
    <row r="126" ht="15" customHeight="1" s="62">
      <c r="A126" s="54" t="n"/>
      <c r="B126" s="33" t="n"/>
      <c r="C126" s="34" t="n"/>
      <c r="D126" s="34" t="n"/>
      <c r="E126" s="35" t="n"/>
      <c r="F126" s="35" t="n"/>
      <c r="G126" s="41" t="n"/>
      <c r="H126" s="34" t="n"/>
      <c r="I126" s="36" t="n"/>
      <c r="J126" s="37" t="n"/>
    </row>
    <row r="127" ht="15" customHeight="1" s="62">
      <c r="A127" s="54" t="n"/>
      <c r="B127" s="33" t="n"/>
      <c r="C127" s="34" t="n"/>
      <c r="D127" s="34" t="n"/>
      <c r="E127" s="35" t="n"/>
      <c r="F127" s="35" t="n"/>
      <c r="G127" s="41" t="n"/>
      <c r="H127" s="34" t="n"/>
      <c r="I127" s="36" t="n"/>
      <c r="J127" s="37" t="n"/>
    </row>
    <row r="128" ht="15" customHeight="1" s="62">
      <c r="A128" s="54" t="n"/>
      <c r="B128" s="33" t="n"/>
      <c r="C128" s="34" t="n"/>
      <c r="D128" s="34" t="n"/>
      <c r="E128" s="35" t="n"/>
      <c r="F128" s="35" t="n"/>
      <c r="G128" s="41" t="n"/>
      <c r="H128" s="34" t="n"/>
      <c r="I128" s="36" t="n"/>
      <c r="J128" s="37" t="n"/>
    </row>
    <row r="129" ht="15" customHeight="1" s="62">
      <c r="A129" s="54" t="n"/>
      <c r="B129" s="33" t="n"/>
      <c r="C129" s="34" t="n"/>
      <c r="D129" s="34" t="n"/>
      <c r="E129" s="35" t="n"/>
      <c r="F129" s="35" t="n"/>
      <c r="G129" s="41" t="n"/>
      <c r="H129" s="34" t="n"/>
      <c r="I129" s="36" t="n"/>
      <c r="J129" s="37" t="n"/>
    </row>
    <row r="130" ht="15" customHeight="1" s="62">
      <c r="A130" s="54" t="n"/>
      <c r="B130" s="33" t="n"/>
      <c r="C130" s="34" t="n"/>
      <c r="D130" s="34" t="n"/>
      <c r="E130" s="35" t="n"/>
      <c r="F130" s="35" t="n"/>
      <c r="G130" s="41" t="n"/>
      <c r="H130" s="34" t="n"/>
      <c r="I130" s="36" t="n"/>
      <c r="J130" s="37" t="n"/>
    </row>
    <row r="131" ht="15" customHeight="1" s="62">
      <c r="A131" s="54" t="n"/>
      <c r="B131" s="33" t="n"/>
      <c r="C131" s="34" t="n"/>
      <c r="D131" s="34" t="n"/>
      <c r="E131" s="35" t="n"/>
      <c r="F131" s="35" t="n"/>
      <c r="G131" s="41" t="n"/>
      <c r="H131" s="34" t="n"/>
      <c r="I131" s="36" t="n"/>
      <c r="J131" s="37" t="n"/>
    </row>
    <row r="132" ht="15" customHeight="1" s="62">
      <c r="A132" s="54" t="n"/>
      <c r="B132" s="33" t="n"/>
      <c r="C132" s="34" t="n"/>
      <c r="D132" s="34" t="n"/>
      <c r="E132" s="35" t="n"/>
      <c r="F132" s="35" t="n"/>
      <c r="G132" s="41" t="n"/>
      <c r="H132" s="34" t="n"/>
      <c r="I132" s="36" t="n"/>
      <c r="J132" s="37" t="n"/>
    </row>
    <row r="133" ht="15" customHeight="1" s="62">
      <c r="A133" s="54" t="n"/>
      <c r="B133" s="33" t="n"/>
      <c r="C133" s="34" t="n"/>
      <c r="D133" s="34" t="n"/>
      <c r="E133" s="35" t="n"/>
      <c r="F133" s="35" t="n"/>
      <c r="G133" s="41" t="n"/>
      <c r="H133" s="34" t="n"/>
      <c r="I133" s="36" t="n"/>
      <c r="J133" s="37" t="n"/>
    </row>
    <row r="134" ht="15" customHeight="1" s="62">
      <c r="A134" s="54" t="n"/>
      <c r="B134" s="33" t="n"/>
      <c r="C134" s="34" t="n"/>
      <c r="D134" s="34" t="n"/>
      <c r="E134" s="35" t="n"/>
      <c r="F134" s="35" t="n"/>
      <c r="G134" s="41" t="n"/>
      <c r="H134" s="34" t="n"/>
      <c r="I134" s="36" t="n"/>
      <c r="J134" s="37" t="n"/>
    </row>
    <row r="135" ht="15" customHeight="1" s="62">
      <c r="A135" s="54" t="n"/>
      <c r="B135" s="33" t="n"/>
      <c r="C135" s="34" t="n"/>
      <c r="D135" s="34" t="n"/>
      <c r="E135" s="35" t="n"/>
      <c r="F135" s="35" t="n"/>
      <c r="G135" s="41" t="n"/>
      <c r="H135" s="34" t="n"/>
      <c r="I135" s="36" t="n"/>
      <c r="J135" s="37" t="n"/>
    </row>
    <row r="136" ht="15" customHeight="1" s="62">
      <c r="A136" s="54" t="n"/>
      <c r="B136" s="33" t="n"/>
      <c r="C136" s="34" t="n"/>
      <c r="D136" s="34" t="n"/>
      <c r="E136" s="35" t="n"/>
      <c r="F136" s="35" t="n"/>
      <c r="G136" s="41" t="n"/>
      <c r="H136" s="34" t="n"/>
      <c r="I136" s="36" t="n"/>
      <c r="J136" s="37" t="n"/>
    </row>
    <row r="137" ht="15" customHeight="1" s="62">
      <c r="A137" s="54" t="n"/>
      <c r="B137" s="33" t="n"/>
      <c r="C137" s="34" t="n"/>
      <c r="D137" s="34" t="n"/>
      <c r="E137" s="35" t="n"/>
      <c r="F137" s="35" t="n"/>
      <c r="G137" s="41" t="n"/>
      <c r="H137" s="34" t="n"/>
      <c r="I137" s="36" t="n"/>
      <c r="J137" s="37" t="n"/>
    </row>
    <row r="138" ht="15" customHeight="1" s="62">
      <c r="A138" s="54" t="n"/>
      <c r="B138" s="33" t="n"/>
      <c r="C138" s="34" t="n"/>
      <c r="D138" s="34" t="n"/>
      <c r="E138" s="35" t="n"/>
      <c r="F138" s="35" t="n"/>
      <c r="G138" s="41" t="n"/>
      <c r="H138" s="34" t="n"/>
      <c r="I138" s="36" t="n"/>
      <c r="J138" s="37" t="n"/>
    </row>
    <row r="139" ht="15" customHeight="1" s="62">
      <c r="A139" s="54" t="n"/>
      <c r="B139" s="33" t="n"/>
      <c r="C139" s="34" t="n"/>
      <c r="D139" s="34" t="n"/>
      <c r="E139" s="35" t="n"/>
      <c r="F139" s="35" t="n"/>
      <c r="G139" s="41" t="n"/>
      <c r="H139" s="34" t="n"/>
      <c r="I139" s="36" t="n"/>
      <c r="J139" s="37" t="n"/>
    </row>
    <row r="140" ht="15" customHeight="1" s="62">
      <c r="A140" s="54" t="n"/>
      <c r="B140" s="33" t="n"/>
      <c r="C140" s="34" t="n"/>
      <c r="D140" s="34" t="n"/>
      <c r="E140" s="35" t="n"/>
      <c r="F140" s="35" t="n"/>
      <c r="G140" s="41" t="n"/>
      <c r="H140" s="34" t="n"/>
      <c r="I140" s="36" t="n"/>
      <c r="J140" s="37" t="n"/>
    </row>
    <row r="141" ht="15" customHeight="1" s="62">
      <c r="A141" s="54" t="n"/>
      <c r="B141" s="33" t="n"/>
      <c r="C141" s="34" t="n"/>
      <c r="D141" s="34" t="n"/>
      <c r="E141" s="35" t="n"/>
      <c r="F141" s="35" t="n"/>
      <c r="G141" s="41" t="n"/>
      <c r="H141" s="34" t="n"/>
      <c r="I141" s="36" t="n"/>
      <c r="J141" s="37" t="n"/>
    </row>
    <row r="142" ht="15" customHeight="1" s="62">
      <c r="A142" s="54" t="n"/>
      <c r="B142" s="33" t="n"/>
      <c r="C142" s="34" t="n"/>
      <c r="D142" s="34" t="n"/>
      <c r="E142" s="35" t="n"/>
      <c r="F142" s="35" t="n"/>
      <c r="G142" s="41" t="n"/>
      <c r="H142" s="34" t="n"/>
      <c r="I142" s="36" t="n"/>
      <c r="J142" s="37" t="n"/>
    </row>
    <row r="143" ht="15" customHeight="1" s="62">
      <c r="A143" s="54" t="n"/>
      <c r="B143" s="33" t="n"/>
      <c r="C143" s="34" t="n"/>
      <c r="D143" s="34" t="n"/>
      <c r="E143" s="35" t="n"/>
      <c r="F143" s="35" t="n"/>
      <c r="G143" s="41" t="n"/>
      <c r="H143" s="34" t="n"/>
      <c r="I143" s="36" t="n"/>
      <c r="J143" s="37" t="n"/>
    </row>
    <row r="144" ht="15" customHeight="1" s="62">
      <c r="A144" s="54" t="n"/>
      <c r="B144" s="33" t="n"/>
      <c r="C144" s="34" t="n"/>
      <c r="D144" s="34" t="n"/>
      <c r="E144" s="35" t="n"/>
      <c r="F144" s="35" t="n"/>
      <c r="G144" s="41" t="n"/>
      <c r="H144" s="34" t="n"/>
      <c r="I144" s="36" t="n"/>
      <c r="J144" s="37" t="n"/>
    </row>
    <row r="145" ht="15" customHeight="1" s="62">
      <c r="A145" s="54" t="n"/>
      <c r="B145" s="33" t="n"/>
      <c r="C145" s="34" t="n"/>
      <c r="D145" s="34" t="n"/>
      <c r="E145" s="35" t="n"/>
      <c r="F145" s="35" t="n"/>
      <c r="G145" s="41" t="n"/>
      <c r="H145" s="34" t="n"/>
      <c r="I145" s="36" t="n"/>
      <c r="J145" s="37" t="n"/>
    </row>
    <row r="146" ht="15" customHeight="1" s="62">
      <c r="A146" s="54" t="n"/>
      <c r="B146" s="33" t="n"/>
      <c r="C146" s="34" t="n"/>
      <c r="D146" s="34" t="n"/>
      <c r="E146" s="35" t="n"/>
      <c r="F146" s="35" t="n"/>
      <c r="G146" s="41" t="n"/>
      <c r="H146" s="34" t="n"/>
      <c r="I146" s="36" t="n"/>
      <c r="J146" s="37" t="n"/>
    </row>
    <row r="147" ht="15" customHeight="1" s="62">
      <c r="A147" s="54" t="n"/>
      <c r="B147" s="33" t="n"/>
      <c r="C147" s="34" t="n"/>
      <c r="D147" s="34" t="n"/>
      <c r="E147" s="35" t="n"/>
      <c r="F147" s="35" t="n"/>
      <c r="G147" s="41" t="n"/>
      <c r="H147" s="34" t="n"/>
      <c r="I147" s="36" t="n"/>
      <c r="J147" s="37" t="n"/>
    </row>
    <row r="148" ht="15" customHeight="1" s="62">
      <c r="A148" s="54" t="n"/>
      <c r="B148" s="33" t="n"/>
      <c r="C148" s="34" t="n"/>
      <c r="D148" s="34" t="n"/>
      <c r="E148" s="35" t="n"/>
      <c r="F148" s="35" t="n"/>
      <c r="G148" s="41" t="n"/>
      <c r="H148" s="34" t="n"/>
      <c r="I148" s="36" t="n"/>
      <c r="J148" s="37" t="n"/>
    </row>
    <row r="149" ht="15" customHeight="1" s="62">
      <c r="A149" s="54" t="n"/>
      <c r="B149" s="33" t="n"/>
      <c r="C149" s="34" t="n"/>
      <c r="D149" s="34" t="n"/>
      <c r="E149" s="35" t="n"/>
      <c r="F149" s="35" t="n"/>
      <c r="G149" s="41" t="n"/>
      <c r="H149" s="34" t="n"/>
      <c r="I149" s="36" t="n"/>
      <c r="J149" s="37" t="n"/>
    </row>
    <row r="150" ht="15" customHeight="1" s="62">
      <c r="A150" s="54" t="n"/>
      <c r="B150" s="33" t="n"/>
      <c r="C150" s="34" t="n"/>
      <c r="D150" s="34" t="n"/>
      <c r="E150" s="35" t="n"/>
      <c r="F150" s="35" t="n"/>
      <c r="G150" s="41" t="n"/>
      <c r="H150" s="34" t="n"/>
      <c r="I150" s="36" t="n"/>
      <c r="J150" s="37" t="n"/>
    </row>
    <row r="151" ht="15" customHeight="1" s="62">
      <c r="A151" s="54" t="n"/>
      <c r="B151" s="33" t="n"/>
      <c r="C151" s="34" t="n"/>
      <c r="D151" s="34" t="n"/>
      <c r="E151" s="35" t="n"/>
      <c r="F151" s="35" t="n"/>
      <c r="G151" s="41" t="n"/>
      <c r="H151" s="34" t="n"/>
      <c r="I151" s="36" t="n"/>
      <c r="J151" s="37" t="n"/>
    </row>
    <row r="152" ht="15" customHeight="1" s="62">
      <c r="A152" s="54" t="n"/>
      <c r="B152" s="33" t="n"/>
      <c r="C152" s="34" t="n"/>
      <c r="D152" s="34" t="n"/>
      <c r="E152" s="35" t="n"/>
      <c r="F152" s="35" t="n"/>
      <c r="G152" s="41" t="n"/>
      <c r="H152" s="34" t="n"/>
      <c r="I152" s="36" t="n"/>
      <c r="J152" s="37" t="n"/>
    </row>
    <row r="153" ht="15" customHeight="1" s="62">
      <c r="A153" s="54" t="n"/>
      <c r="B153" s="33" t="n"/>
      <c r="C153" s="34" t="n"/>
      <c r="D153" s="34" t="n"/>
      <c r="E153" s="35" t="n"/>
      <c r="F153" s="35" t="n"/>
      <c r="G153" s="41" t="n"/>
      <c r="H153" s="34" t="n"/>
      <c r="I153" s="36" t="n"/>
      <c r="J153" s="37" t="n"/>
    </row>
    <row r="154" ht="15" customHeight="1" s="62">
      <c r="A154" s="54" t="n"/>
      <c r="B154" s="33" t="n"/>
      <c r="C154" s="34" t="n"/>
      <c r="D154" s="34" t="n"/>
      <c r="E154" s="35" t="n"/>
      <c r="F154" s="35" t="n"/>
      <c r="G154" s="41" t="n"/>
      <c r="H154" s="34" t="n"/>
      <c r="I154" s="36" t="n"/>
      <c r="J154" s="37" t="n"/>
    </row>
    <row r="155" ht="15" customHeight="1" s="62">
      <c r="A155" s="54" t="n"/>
      <c r="B155" s="33" t="n"/>
      <c r="C155" s="34" t="n"/>
      <c r="D155" s="34" t="n"/>
      <c r="E155" s="35" t="n"/>
      <c r="F155" s="35" t="n"/>
      <c r="G155" s="41" t="n"/>
      <c r="H155" s="34" t="n"/>
      <c r="I155" s="36" t="n"/>
      <c r="J155" s="37" t="n"/>
    </row>
    <row r="156" ht="15" customHeight="1" s="62">
      <c r="A156" s="54" t="n"/>
      <c r="B156" s="33" t="n"/>
      <c r="C156" s="34" t="n"/>
      <c r="D156" s="34" t="n"/>
      <c r="E156" s="35" t="n"/>
      <c r="F156" s="35" t="n"/>
      <c r="G156" s="41" t="n"/>
      <c r="H156" s="34" t="n"/>
      <c r="I156" s="36" t="n"/>
      <c r="J156" s="37" t="n"/>
    </row>
    <row r="157" ht="15" customHeight="1" s="62">
      <c r="A157" s="54" t="n"/>
      <c r="B157" s="33" t="n"/>
      <c r="C157" s="34" t="n"/>
      <c r="D157" s="34" t="n"/>
      <c r="E157" s="35" t="n"/>
      <c r="F157" s="35" t="n"/>
      <c r="G157" s="41" t="n"/>
      <c r="H157" s="34" t="n"/>
      <c r="I157" s="36" t="n"/>
      <c r="J157" s="37" t="n"/>
    </row>
    <row r="158" ht="15" customHeight="1" s="62">
      <c r="A158" s="54" t="n"/>
      <c r="B158" s="33" t="n"/>
      <c r="C158" s="34" t="n"/>
      <c r="D158" s="34" t="n"/>
      <c r="E158" s="35" t="n"/>
      <c r="F158" s="35" t="n"/>
      <c r="G158" s="41" t="n"/>
      <c r="H158" s="34" t="n"/>
      <c r="I158" s="36" t="n"/>
      <c r="J158" s="37" t="n"/>
    </row>
    <row r="159" ht="15" customHeight="1" s="62">
      <c r="A159" s="54" t="n"/>
      <c r="B159" s="33" t="n"/>
      <c r="C159" s="34" t="n"/>
      <c r="D159" s="34" t="n"/>
      <c r="E159" s="35" t="n"/>
      <c r="F159" s="35" t="n"/>
      <c r="G159" s="41" t="n"/>
      <c r="H159" s="34" t="n"/>
      <c r="I159" s="36" t="n"/>
      <c r="J159" s="37" t="n"/>
    </row>
    <row r="160" ht="15" customHeight="1" s="62">
      <c r="A160" s="54" t="n"/>
      <c r="B160" s="33" t="n"/>
      <c r="C160" s="34" t="n"/>
      <c r="D160" s="34" t="n"/>
      <c r="E160" s="35" t="n"/>
      <c r="F160" s="35" t="n"/>
      <c r="G160" s="41" t="n"/>
      <c r="H160" s="34" t="n"/>
      <c r="I160" s="36" t="n"/>
      <c r="J160" s="37" t="n"/>
    </row>
    <row r="161" ht="15" customHeight="1" s="62">
      <c r="A161" s="54" t="n"/>
      <c r="B161" s="33" t="n"/>
      <c r="C161" s="34" t="n"/>
      <c r="D161" s="34" t="n"/>
      <c r="E161" s="35" t="n"/>
      <c r="F161" s="35" t="n"/>
      <c r="G161" s="41" t="n"/>
      <c r="H161" s="34" t="n"/>
      <c r="I161" s="36" t="n"/>
      <c r="J161" s="37" t="n"/>
    </row>
    <row r="162" ht="15" customHeight="1" s="62">
      <c r="A162" s="54" t="n"/>
      <c r="B162" s="33" t="n"/>
      <c r="C162" s="34" t="n"/>
      <c r="D162" s="34" t="n"/>
      <c r="E162" s="35" t="n"/>
      <c r="F162" s="35" t="n"/>
      <c r="G162" s="41" t="n"/>
      <c r="H162" s="34" t="n"/>
      <c r="I162" s="36" t="n"/>
      <c r="J162" s="37" t="n"/>
    </row>
    <row r="163" ht="15" customHeight="1" s="62">
      <c r="A163" s="54" t="n"/>
      <c r="B163" s="33" t="n"/>
      <c r="C163" s="34" t="n"/>
      <c r="D163" s="34" t="n"/>
      <c r="E163" s="35" t="n"/>
      <c r="F163" s="35" t="n"/>
      <c r="G163" s="41" t="n"/>
      <c r="H163" s="34" t="n"/>
      <c r="I163" s="36" t="n"/>
      <c r="J163" s="37" t="n"/>
    </row>
    <row r="164" ht="15" customHeight="1" s="62">
      <c r="A164" s="54" t="n"/>
      <c r="B164" s="33" t="n"/>
      <c r="C164" s="34" t="n"/>
      <c r="D164" s="34" t="n"/>
      <c r="E164" s="35" t="n"/>
      <c r="F164" s="35" t="n"/>
      <c r="G164" s="41" t="n"/>
      <c r="H164" s="34" t="n"/>
      <c r="I164" s="36" t="n"/>
      <c r="J164" s="37" t="n"/>
    </row>
    <row r="165" ht="15" customHeight="1" s="62">
      <c r="A165" s="54" t="n"/>
      <c r="B165" s="33" t="n"/>
      <c r="C165" s="34" t="n"/>
      <c r="D165" s="34" t="n"/>
      <c r="E165" s="35" t="n"/>
      <c r="F165" s="35" t="n"/>
      <c r="G165" s="41" t="n"/>
      <c r="H165" s="34" t="n"/>
      <c r="I165" s="36" t="n"/>
      <c r="J165" s="37" t="n"/>
    </row>
    <row r="166" ht="15" customHeight="1" s="62">
      <c r="A166" s="54" t="n"/>
      <c r="B166" s="33" t="n"/>
      <c r="C166" s="34" t="n"/>
      <c r="D166" s="34" t="n"/>
      <c r="E166" s="35" t="n"/>
      <c r="F166" s="35" t="n"/>
      <c r="G166" s="41" t="n"/>
      <c r="H166" s="34" t="n"/>
      <c r="I166" s="36" t="n"/>
      <c r="J166" s="37" t="n"/>
    </row>
    <row r="167" ht="15" customHeight="1" s="62">
      <c r="A167" s="54" t="n"/>
      <c r="B167" s="33" t="n"/>
      <c r="C167" s="34" t="n"/>
      <c r="D167" s="34" t="n"/>
      <c r="E167" s="35" t="n"/>
      <c r="F167" s="35" t="n"/>
      <c r="G167" s="41" t="n"/>
      <c r="H167" s="34" t="n"/>
      <c r="I167" s="36" t="n"/>
      <c r="J167" s="37" t="n"/>
    </row>
    <row r="168" ht="15" customHeight="1" s="62">
      <c r="A168" s="54" t="n"/>
      <c r="B168" s="33" t="n"/>
      <c r="C168" s="34" t="n"/>
      <c r="D168" s="34" t="n"/>
      <c r="E168" s="35" t="n"/>
      <c r="F168" s="35" t="n"/>
      <c r="G168" s="41" t="n"/>
      <c r="H168" s="34" t="n"/>
      <c r="I168" s="36" t="n"/>
      <c r="J168" s="37" t="n"/>
    </row>
    <row r="169" ht="15" customHeight="1" s="62">
      <c r="A169" s="54" t="n"/>
      <c r="B169" s="33" t="n"/>
      <c r="C169" s="34" t="n"/>
      <c r="D169" s="34" t="n"/>
      <c r="E169" s="35" t="n"/>
      <c r="F169" s="35" t="n"/>
      <c r="G169" s="41" t="n"/>
      <c r="H169" s="34" t="n"/>
      <c r="I169" s="36" t="n"/>
      <c r="J169" s="37" t="n"/>
    </row>
    <row r="170" ht="15" customHeight="1" s="62">
      <c r="A170" s="54" t="n"/>
      <c r="B170" s="33" t="n"/>
      <c r="C170" s="34" t="n"/>
      <c r="D170" s="34" t="n"/>
      <c r="E170" s="35" t="n"/>
      <c r="F170" s="35" t="n"/>
      <c r="G170" s="41" t="n"/>
      <c r="H170" s="34" t="n"/>
      <c r="I170" s="36" t="n"/>
      <c r="J170" s="37" t="n"/>
    </row>
    <row r="171" ht="15" customHeight="1" s="62">
      <c r="A171" s="54" t="n"/>
      <c r="B171" s="33" t="n"/>
      <c r="C171" s="34" t="n"/>
      <c r="D171" s="34" t="n"/>
      <c r="E171" s="35" t="n"/>
      <c r="F171" s="35" t="n"/>
      <c r="G171" s="41" t="n"/>
      <c r="H171" s="34" t="n"/>
      <c r="I171" s="36" t="n"/>
      <c r="J171" s="37" t="n"/>
    </row>
    <row r="172" ht="15" customHeight="1" s="62">
      <c r="A172" s="54" t="n"/>
      <c r="B172" s="33" t="n"/>
      <c r="C172" s="34" t="n"/>
      <c r="D172" s="34" t="n"/>
      <c r="E172" s="35" t="n"/>
      <c r="F172" s="35" t="n"/>
      <c r="G172" s="41" t="n"/>
      <c r="H172" s="34" t="n"/>
      <c r="I172" s="36" t="n"/>
      <c r="J172" s="37" t="n"/>
    </row>
    <row r="173" ht="15" customHeight="1" s="62">
      <c r="A173" s="54" t="n"/>
      <c r="B173" s="33" t="n"/>
      <c r="C173" s="34" t="n"/>
      <c r="D173" s="34" t="n"/>
      <c r="E173" s="35" t="n"/>
      <c r="F173" s="35" t="n"/>
      <c r="G173" s="41" t="n"/>
      <c r="H173" s="34" t="n"/>
      <c r="I173" s="36" t="n"/>
      <c r="J173" s="37" t="n"/>
    </row>
    <row r="174" ht="15" customHeight="1" s="62">
      <c r="A174" s="54" t="n"/>
      <c r="B174" s="33" t="n"/>
      <c r="C174" s="34" t="n"/>
      <c r="D174" s="34" t="n"/>
      <c r="E174" s="35" t="n"/>
      <c r="F174" s="35" t="n"/>
      <c r="G174" s="41" t="n"/>
      <c r="H174" s="34" t="n"/>
      <c r="I174" s="36" t="n"/>
      <c r="J174" s="37" t="n"/>
    </row>
    <row r="175" ht="15" customHeight="1" s="62">
      <c r="A175" s="54" t="n"/>
      <c r="B175" s="33" t="n"/>
      <c r="C175" s="34" t="n"/>
      <c r="D175" s="34" t="n"/>
      <c r="E175" s="35" t="n"/>
      <c r="F175" s="35" t="n"/>
      <c r="G175" s="41" t="n"/>
      <c r="H175" s="34" t="n"/>
      <c r="I175" s="36" t="n"/>
      <c r="J175" s="37" t="n"/>
    </row>
    <row r="176" ht="15" customHeight="1" s="62">
      <c r="A176" s="54" t="n"/>
      <c r="B176" s="33" t="n"/>
      <c r="C176" s="34" t="n"/>
      <c r="D176" s="34" t="n"/>
      <c r="E176" s="35" t="n"/>
      <c r="F176" s="35" t="n"/>
      <c r="G176" s="41" t="n"/>
      <c r="H176" s="34" t="n"/>
      <c r="I176" s="36" t="n"/>
      <c r="J176" s="37" t="n"/>
    </row>
    <row r="177" ht="15" customHeight="1" s="62">
      <c r="A177" s="54" t="n"/>
      <c r="B177" s="33" t="n"/>
      <c r="C177" s="34" t="n"/>
      <c r="D177" s="34" t="n"/>
      <c r="E177" s="35" t="n"/>
      <c r="F177" s="35" t="n"/>
      <c r="G177" s="41" t="n"/>
      <c r="H177" s="34" t="n"/>
      <c r="I177" s="36" t="n"/>
      <c r="J177" s="37" t="n"/>
    </row>
    <row r="178" ht="15" customHeight="1" s="62">
      <c r="A178" s="54" t="n"/>
      <c r="B178" s="33" t="n"/>
      <c r="C178" s="34" t="n"/>
      <c r="D178" s="34" t="n"/>
      <c r="E178" s="35" t="n"/>
      <c r="F178" s="35" t="n"/>
      <c r="G178" s="41" t="n"/>
      <c r="H178" s="34" t="n"/>
      <c r="I178" s="36" t="n"/>
      <c r="J178" s="37" t="n"/>
    </row>
    <row r="179" ht="15" customHeight="1" s="62">
      <c r="A179" s="54" t="n"/>
      <c r="B179" s="33" t="n"/>
      <c r="C179" s="34" t="n"/>
      <c r="D179" s="34" t="n"/>
      <c r="E179" s="35" t="n"/>
      <c r="F179" s="35" t="n"/>
      <c r="G179" s="41" t="n"/>
      <c r="H179" s="34" t="n"/>
      <c r="I179" s="36" t="n"/>
      <c r="J179" s="37" t="n"/>
    </row>
    <row r="180" ht="15" customHeight="1" s="62">
      <c r="A180" s="54" t="n"/>
      <c r="B180" s="33" t="n"/>
      <c r="C180" s="34" t="n"/>
      <c r="D180" s="34" t="n"/>
      <c r="E180" s="35" t="n"/>
      <c r="F180" s="35" t="n"/>
      <c r="G180" s="41" t="n"/>
      <c r="H180" s="34" t="n"/>
      <c r="I180" s="36" t="n"/>
      <c r="J180" s="37" t="n"/>
    </row>
    <row r="181" ht="15" customHeight="1" s="62">
      <c r="A181" s="54" t="n"/>
      <c r="B181" s="33" t="n"/>
      <c r="C181" s="34" t="n"/>
      <c r="D181" s="34" t="n"/>
      <c r="E181" s="35" t="n"/>
      <c r="F181" s="35" t="n"/>
      <c r="G181" s="41" t="n"/>
      <c r="H181" s="34" t="n"/>
      <c r="I181" s="36" t="n"/>
      <c r="J181" s="37" t="n"/>
    </row>
    <row r="182" ht="15" customHeight="1" s="62">
      <c r="A182" s="54" t="n"/>
      <c r="B182" s="33" t="n"/>
      <c r="C182" s="34" t="n"/>
      <c r="D182" s="34" t="n"/>
      <c r="E182" s="35" t="n"/>
      <c r="F182" s="35" t="n"/>
      <c r="G182" s="41" t="n"/>
      <c r="H182" s="34" t="n"/>
      <c r="I182" s="36" t="n"/>
      <c r="J182" s="37" t="n"/>
    </row>
    <row r="183" ht="15" customHeight="1" s="62">
      <c r="A183" s="54" t="n"/>
      <c r="B183" s="33" t="n"/>
      <c r="C183" s="34" t="n"/>
      <c r="D183" s="34" t="n"/>
      <c r="E183" s="35" t="n"/>
      <c r="F183" s="35" t="n"/>
      <c r="G183" s="41" t="n"/>
      <c r="H183" s="34" t="n"/>
      <c r="I183" s="36" t="n"/>
      <c r="J183" s="37" t="n"/>
    </row>
    <row r="184" ht="15" customHeight="1" s="62">
      <c r="A184" s="54" t="n"/>
      <c r="B184" s="33" t="n"/>
      <c r="C184" s="34" t="n"/>
      <c r="D184" s="34" t="n"/>
      <c r="E184" s="35" t="n"/>
      <c r="F184" s="35" t="n"/>
      <c r="G184" s="41" t="n"/>
      <c r="H184" s="34" t="n"/>
      <c r="I184" s="36" t="n"/>
      <c r="J184" s="37" t="n"/>
    </row>
    <row r="185" ht="15" customHeight="1" s="62">
      <c r="A185" s="54" t="n"/>
      <c r="B185" s="33" t="n"/>
      <c r="C185" s="34" t="n"/>
      <c r="D185" s="34" t="n"/>
      <c r="E185" s="35" t="n"/>
      <c r="F185" s="35" t="n"/>
      <c r="G185" s="41" t="n"/>
      <c r="H185" s="34" t="n"/>
      <c r="I185" s="36" t="n"/>
      <c r="J185" s="37" t="n"/>
    </row>
    <row r="186" ht="15" customHeight="1" s="62">
      <c r="A186" s="54" t="n"/>
      <c r="B186" s="33" t="n"/>
      <c r="C186" s="34" t="n"/>
      <c r="D186" s="34" t="n"/>
      <c r="E186" s="35" t="n"/>
      <c r="F186" s="35" t="n"/>
      <c r="G186" s="41" t="n"/>
      <c r="H186" s="34" t="n"/>
      <c r="I186" s="36" t="n"/>
      <c r="J186" s="37" t="n"/>
    </row>
    <row r="187" ht="15" customHeight="1" s="62">
      <c r="A187" s="54" t="n"/>
      <c r="B187" s="33" t="n"/>
      <c r="C187" s="34" t="n"/>
      <c r="D187" s="34" t="n"/>
      <c r="E187" s="35" t="n"/>
      <c r="F187" s="35" t="n"/>
      <c r="G187" s="41" t="n"/>
      <c r="H187" s="34" t="n"/>
      <c r="I187" s="36" t="n"/>
      <c r="J187" s="37" t="n"/>
    </row>
    <row r="188" ht="15" customHeight="1" s="62">
      <c r="A188" s="54" t="n"/>
      <c r="B188" s="33" t="n"/>
      <c r="C188" s="34" t="n"/>
      <c r="D188" s="34" t="n"/>
      <c r="E188" s="35" t="n"/>
      <c r="F188" s="35" t="n"/>
      <c r="G188" s="41" t="n"/>
      <c r="H188" s="34" t="n"/>
      <c r="I188" s="36" t="n"/>
      <c r="J188" s="37" t="n"/>
    </row>
    <row r="189" ht="15" customHeight="1" s="62">
      <c r="A189" s="54" t="n"/>
      <c r="B189" s="33" t="n"/>
      <c r="C189" s="34" t="n"/>
      <c r="D189" s="34" t="n"/>
      <c r="E189" s="35" t="n"/>
      <c r="F189" s="35" t="n"/>
      <c r="G189" s="41" t="n"/>
      <c r="H189" s="34" t="n"/>
      <c r="I189" s="36" t="n"/>
      <c r="J189" s="37" t="n"/>
    </row>
    <row r="190" ht="15" customHeight="1" s="62">
      <c r="A190" s="54" t="n"/>
      <c r="B190" s="33" t="n"/>
      <c r="C190" s="34" t="n"/>
      <c r="D190" s="34" t="n"/>
      <c r="E190" s="35" t="n"/>
      <c r="F190" s="35" t="n"/>
      <c r="G190" s="41" t="n"/>
      <c r="H190" s="34" t="n"/>
      <c r="I190" s="36" t="n"/>
      <c r="J190" s="37" t="n"/>
    </row>
    <row r="191" ht="15" customHeight="1" s="62">
      <c r="A191" s="54" t="n"/>
      <c r="B191" s="33" t="n"/>
      <c r="C191" s="34" t="n"/>
      <c r="D191" s="34" t="n"/>
      <c r="E191" s="35" t="n"/>
      <c r="F191" s="35" t="n"/>
      <c r="G191" s="41" t="n"/>
      <c r="H191" s="34" t="n"/>
      <c r="I191" s="36" t="n"/>
      <c r="J191" s="37" t="n"/>
    </row>
    <row r="192" ht="15" customHeight="1" s="62">
      <c r="A192" s="54" t="n"/>
      <c r="B192" s="33" t="n"/>
      <c r="C192" s="34" t="n"/>
      <c r="D192" s="34" t="n"/>
      <c r="E192" s="35" t="n"/>
      <c r="F192" s="35" t="n"/>
      <c r="G192" s="41" t="n"/>
      <c r="H192" s="34" t="n"/>
      <c r="I192" s="36" t="n"/>
      <c r="J192" s="37" t="n"/>
    </row>
    <row r="193" ht="15" customHeight="1" s="62">
      <c r="A193" s="54" t="n"/>
      <c r="B193" s="33" t="n"/>
      <c r="C193" s="34" t="n"/>
      <c r="D193" s="34" t="n"/>
      <c r="E193" s="35" t="n"/>
      <c r="F193" s="35" t="n"/>
      <c r="G193" s="41" t="n"/>
      <c r="H193" s="34" t="n"/>
      <c r="I193" s="36" t="n"/>
      <c r="J193" s="37" t="n"/>
    </row>
    <row r="194" ht="15" customHeight="1" s="62">
      <c r="A194" s="54" t="n"/>
      <c r="B194" s="33" t="n"/>
      <c r="C194" s="34" t="n"/>
      <c r="D194" s="34" t="n"/>
      <c r="E194" s="35" t="n"/>
      <c r="F194" s="35" t="n"/>
      <c r="G194" s="41" t="n"/>
      <c r="H194" s="34" t="n"/>
      <c r="I194" s="36" t="n"/>
      <c r="J194" s="37" t="n"/>
    </row>
    <row r="195" ht="15" customHeight="1" s="62">
      <c r="A195" s="54" t="n"/>
      <c r="B195" s="33" t="n"/>
      <c r="C195" s="34" t="n"/>
      <c r="D195" s="34" t="n"/>
      <c r="E195" s="35" t="n"/>
      <c r="F195" s="35" t="n"/>
      <c r="G195" s="41" t="n"/>
      <c r="H195" s="34" t="n"/>
      <c r="I195" s="36" t="n"/>
      <c r="J195" s="37" t="n"/>
    </row>
    <row r="196" ht="15" customHeight="1" s="62">
      <c r="A196" s="54" t="n"/>
      <c r="B196" s="33" t="n"/>
      <c r="C196" s="34" t="n"/>
      <c r="D196" s="34" t="n"/>
      <c r="E196" s="35" t="n"/>
      <c r="F196" s="35" t="n"/>
      <c r="G196" s="41" t="n"/>
      <c r="H196" s="34" t="n"/>
      <c r="I196" s="36" t="n"/>
      <c r="J196" s="37" t="n"/>
    </row>
    <row r="197" ht="15" customHeight="1" s="62">
      <c r="A197" s="54" t="n"/>
      <c r="B197" s="33" t="n"/>
      <c r="C197" s="34" t="n"/>
      <c r="D197" s="34" t="n"/>
      <c r="E197" s="35" t="n"/>
      <c r="F197" s="35" t="n"/>
      <c r="G197" s="41" t="n"/>
      <c r="H197" s="34" t="n"/>
      <c r="I197" s="36" t="n"/>
      <c r="J197" s="37" t="n"/>
    </row>
    <row r="198" ht="15" customHeight="1" s="62">
      <c r="A198" s="54" t="n"/>
      <c r="B198" s="33" t="n"/>
      <c r="C198" s="34" t="n"/>
      <c r="D198" s="34" t="n"/>
      <c r="E198" s="35" t="n"/>
      <c r="F198" s="35" t="n"/>
      <c r="G198" s="41" t="n"/>
      <c r="H198" s="34" t="n"/>
      <c r="I198" s="36" t="n"/>
      <c r="J198" s="37" t="n"/>
    </row>
    <row r="199" ht="15" customHeight="1" s="62">
      <c r="A199" s="54" t="n"/>
      <c r="B199" s="33" t="n"/>
      <c r="C199" s="34" t="n"/>
      <c r="D199" s="34" t="n"/>
      <c r="E199" s="35" t="n"/>
      <c r="F199" s="35" t="n"/>
      <c r="G199" s="41" t="n"/>
      <c r="H199" s="34" t="n"/>
      <c r="I199" s="36" t="n"/>
      <c r="J199" s="37" t="n"/>
    </row>
    <row r="200" ht="15" customHeight="1" s="62">
      <c r="A200" s="54" t="n"/>
      <c r="B200" s="33" t="n"/>
      <c r="C200" s="34" t="n"/>
      <c r="D200" s="34" t="n"/>
      <c r="E200" s="35" t="n"/>
      <c r="F200" s="35" t="n"/>
      <c r="G200" s="41" t="n"/>
      <c r="H200" s="34" t="n"/>
      <c r="I200" s="36" t="n"/>
      <c r="J200" s="37" t="n"/>
    </row>
    <row r="201" ht="15" customHeight="1" s="62">
      <c r="A201" s="54" t="n"/>
      <c r="B201" s="33" t="n"/>
      <c r="C201" s="34" t="n"/>
      <c r="D201" s="34" t="n"/>
      <c r="E201" s="35" t="n"/>
      <c r="F201" s="35" t="n"/>
      <c r="G201" s="41" t="n"/>
      <c r="H201" s="34" t="n"/>
      <c r="I201" s="36" t="n"/>
      <c r="J201" s="37" t="n"/>
    </row>
    <row r="202" ht="15" customHeight="1" s="62">
      <c r="A202" s="54" t="n"/>
      <c r="B202" s="33" t="n"/>
      <c r="C202" s="34" t="n"/>
      <c r="D202" s="34" t="n"/>
      <c r="E202" s="35" t="n"/>
      <c r="F202" s="35" t="n"/>
      <c r="G202" s="41" t="n"/>
      <c r="H202" s="34" t="n"/>
      <c r="I202" s="36" t="n"/>
      <c r="J202" s="37" t="n"/>
    </row>
    <row r="203" ht="15" customHeight="1" s="62">
      <c r="A203" s="54" t="n"/>
      <c r="B203" s="33" t="n"/>
      <c r="C203" s="34" t="n"/>
      <c r="D203" s="34" t="n"/>
      <c r="E203" s="35" t="n"/>
      <c r="F203" s="35" t="n"/>
      <c r="G203" s="41" t="n"/>
      <c r="H203" s="34" t="n"/>
      <c r="I203" s="36" t="n"/>
      <c r="J203" s="37" t="n"/>
    </row>
    <row r="204" ht="15" customHeight="1" s="62">
      <c r="A204" s="54" t="n"/>
      <c r="B204" s="33" t="n"/>
      <c r="C204" s="34" t="n"/>
      <c r="D204" s="34" t="n"/>
      <c r="E204" s="35" t="n"/>
      <c r="F204" s="35" t="n"/>
      <c r="G204" s="41" t="n"/>
      <c r="H204" s="34" t="n"/>
      <c r="I204" s="36" t="n"/>
      <c r="J204" s="37" t="n"/>
    </row>
    <row r="205" ht="15" customHeight="1" s="62">
      <c r="A205" s="54" t="n"/>
      <c r="B205" s="33" t="n"/>
      <c r="C205" s="34" t="n"/>
      <c r="D205" s="34" t="n"/>
      <c r="E205" s="35" t="n"/>
      <c r="F205" s="35" t="n"/>
      <c r="G205" s="41" t="n"/>
      <c r="H205" s="34" t="n"/>
      <c r="I205" s="36" t="n"/>
      <c r="J205" s="37" t="n"/>
    </row>
  </sheetData>
  <mergeCells count="3">
    <mergeCell ref="A1:J1"/>
    <mergeCell ref="A4:J4"/>
    <mergeCell ref="A2:J2"/>
  </mergeCells>
  <conditionalFormatting sqref="A6:H100">
    <cfRule type="expression" priority="9" dxfId="1">
      <formula>$C6="Monthly Rent Charge"</formula>
    </cfRule>
    <cfRule type="expression" priority="11" dxfId="0">
      <formula>$C6="Payment Received"</formula>
    </cfRule>
  </conditionalFormatting>
  <conditionalFormatting sqref="H3">
    <cfRule type="cellIs" priority="16" operator="lessThan" dxfId="3">
      <formula>0</formula>
    </cfRule>
    <cfRule type="cellIs" priority="17" operator="equal" dxfId="3">
      <formula>0</formula>
    </cfRule>
    <cfRule type="cellIs" priority="18" operator="greaterThan" dxfId="2">
      <formula>0</formula>
    </cfRule>
  </conditionalFormatting>
  <conditionalFormatting sqref="I6:I100">
    <cfRule type="cellIs" priority="13" operator="lessThan" dxfId="3">
      <formula>0</formula>
    </cfRule>
    <cfRule type="cellIs" priority="14" operator="equal" dxfId="3">
      <formula>0</formula>
    </cfRule>
    <cfRule type="cellIs" priority="15" operator="greaterThan" dxfId="2">
      <formula>0</formula>
    </cfRule>
  </conditionalFormatting>
  <conditionalFormatting sqref="J6:J100">
    <cfRule type="expression" priority="10" dxfId="1">
      <formula>$C6="Monthly Rent Charge"</formula>
    </cfRule>
    <cfRule type="expression" priority="12" dxfId="0">
      <formula>$C6="Payment Received"</formula>
    </cfRule>
  </conditionalFormatting>
  <dataValidations count="3">
    <dataValidation sqref="B6:B43" showDropDown="0" showInputMessage="0" showErrorMessage="0" allowBlank="1" type="list">
      <formula1>"January,February,March,April,May,June,July,August,September,October,November,December"</formula1>
      <formula2>0</formula2>
    </dataValidation>
    <dataValidation sqref="C6:C43" showDropDown="0" showInputMessage="0" showErrorMessage="0" allowBlank="1" type="list">
      <formula1>"Monthly Rent Charge,Payment Received"</formula1>
      <formula2>0</formula2>
    </dataValidation>
    <dataValidation sqref="A6:A205" showDropDown="0" showInputMessage="1" showErrorMessage="1" allowBlank="1" errorTitle="Invalid date" error="Please enter a valid date." promptTitle="Select a date" prompt="Use the date picker or enter a valid payment date here." type="date">
      <formula1>DATE(2000,1,1)</formula1>
      <formula2>DATE(2100,12,31)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205"/>
  <sheetViews>
    <sheetView zoomScaleNormal="100" workbookViewId="0">
      <selection activeCell="I13" sqref="I13"/>
    </sheetView>
  </sheetViews>
  <sheetFormatPr baseColWidth="8" defaultColWidth="8.6640625" defaultRowHeight="14.4"/>
  <cols>
    <col width="14" customWidth="1" style="62" min="1" max="1"/>
    <col width="24" customWidth="1" style="62" min="3" max="3"/>
    <col width="13.109375" customWidth="1" style="62" min="4" max="4"/>
    <col width="15" customWidth="1" style="62" min="5" max="5"/>
    <col width="17" customWidth="1" style="62" min="6" max="6"/>
    <col width="18" customWidth="1" style="62" min="7" max="7"/>
    <col width="22" customWidth="1" style="62" min="8" max="8"/>
    <col width="17" customWidth="1" style="62" min="9" max="9"/>
    <col width="30" customWidth="1" style="62" min="10" max="10"/>
    <col width="12" customWidth="1" style="62" min="11" max="11"/>
    <col width="10" customWidth="1" style="62" min="12" max="12"/>
  </cols>
  <sheetData>
    <row r="1" ht="19.5" customHeight="1" s="62">
      <c r="A1" s="74" t="inlineStr">
        <is>
          <t>Unit A7 — Tenant Statement / Ledger</t>
        </is>
      </c>
    </row>
    <row r="2" ht="27.75" customHeight="1" s="62">
      <c r="A2" s="76" t="inlineStr">
        <is>
          <t>Select a month to create a Monthly Rent Charge: the date fills as the first day of that month (current year) and description fills automatically. For a payment, leave Month blank and choose Payment Received.</t>
        </is>
      </c>
    </row>
    <row r="3" ht="15" customHeight="1" s="62">
      <c r="A3" s="25" t="inlineStr">
        <is>
          <t>Unit</t>
        </is>
      </c>
      <c r="B3" s="25" t="inlineStr">
        <is>
          <t>A7</t>
        </is>
      </c>
      <c r="C3" s="25" t="inlineStr">
        <is>
          <t>Current Rent</t>
        </is>
      </c>
      <c r="D3" s="26" t="n">
        <v>3000</v>
      </c>
      <c r="E3" s="26" t="inlineStr">
        <is>
          <t>Garbage</t>
        </is>
      </c>
      <c r="F3" s="26" t="n">
        <v>100</v>
      </c>
      <c r="G3" s="25" t="inlineStr">
        <is>
          <t>Current Balance</t>
        </is>
      </c>
      <c r="H3" s="27">
        <f>IFERROR(LOOKUP(9.99E+307,I6:I69),0)</f>
        <v/>
      </c>
      <c r="I3" s="25" t="inlineStr">
        <is>
          <t>Tenant</t>
        </is>
      </c>
      <c r="J3" s="28" t="inlineStr">
        <is>
          <t>ODENY ODONGO</t>
        </is>
      </c>
      <c r="K3" s="29" t="inlineStr">
        <is>
          <t>Deposit Held</t>
        </is>
      </c>
      <c r="L3" s="30" t="n">
        <v>0</v>
      </c>
    </row>
    <row r="4">
      <c r="A4" s="75" t="inlineStr">
        <is>
          <t>Current tenant only. When vacating → copy rows to Archive sheet, then clear this ledger.</t>
        </is>
      </c>
    </row>
    <row r="5" ht="15" customHeight="1" s="62">
      <c r="A5" s="31" t="inlineStr">
        <is>
          <t>Date</t>
        </is>
      </c>
      <c r="B5" s="31" t="inlineStr">
        <is>
          <t>Month</t>
        </is>
      </c>
      <c r="C5" s="31" t="inlineStr">
        <is>
          <t>Description</t>
        </is>
      </c>
      <c r="D5" s="31" t="inlineStr">
        <is>
          <t>Tenant</t>
        </is>
      </c>
      <c r="E5" s="31" t="inlineStr">
        <is>
          <t>Rent Charged</t>
        </is>
      </c>
      <c r="F5" s="31" t="inlineStr">
        <is>
          <t>Garbage Charged</t>
        </is>
      </c>
      <c r="G5" s="31" t="inlineStr">
        <is>
          <t>Payment Received</t>
        </is>
      </c>
      <c r="H5" s="31" t="inlineStr">
        <is>
          <t>M-Pesa Reference</t>
        </is>
      </c>
      <c r="I5" s="31" t="inlineStr">
        <is>
          <t>Running Balance</t>
        </is>
      </c>
      <c r="J5" s="31" t="inlineStr">
        <is>
          <t>Remarks</t>
        </is>
      </c>
    </row>
    <row r="6" ht="15" customHeight="1" s="62">
      <c r="A6" s="54" t="n">
        <v>45413</v>
      </c>
      <c r="B6" s="33" t="inlineStr">
        <is>
          <t>May</t>
        </is>
      </c>
      <c r="C6" s="34">
        <f>IF(B6="","","Monthly Rent Charge")</f>
        <v/>
      </c>
      <c r="D6" s="34" t="n"/>
      <c r="E6" s="35">
        <f>IF(C6="Monthly Rent Charge",$D$3,"")</f>
        <v/>
      </c>
      <c r="F6" s="35">
        <f>IF(C6="Monthly Rent Charge",$F$3,"")</f>
        <v/>
      </c>
      <c r="G6" s="41" t="n"/>
      <c r="H6" s="34" t="n"/>
      <c r="I6" s="36">
        <f>IF(A6="","",IF(C6="Payment Received",-IFERROR(G6,0),IF(C6="Monthly Rent Charge",IFERROR(E6,0)+IFERROR(F6,0),0)))</f>
        <v/>
      </c>
      <c r="J6" s="37" t="n"/>
    </row>
    <row r="7" ht="15" customHeight="1" s="62">
      <c r="A7" s="53" t="n">
        <v>45428</v>
      </c>
      <c r="B7" s="33" t="n"/>
      <c r="C7" s="34" t="inlineStr">
        <is>
          <t>Payment Received</t>
        </is>
      </c>
      <c r="D7" s="34" t="n"/>
      <c r="E7" s="35">
        <f>IF(C7="Monthly Rent Charge",$D$3,"")</f>
        <v/>
      </c>
      <c r="F7" s="35">
        <f>IF(C7="Monthly Rent Charge",$F$3,"")</f>
        <v/>
      </c>
      <c r="G7" s="41" t="n">
        <v>3100</v>
      </c>
      <c r="H7" s="34" t="n"/>
      <c r="I7" s="36">
        <f>IF(A7="","",IF(C7="Payment Received",I6-IFERROR(G7,0),IF(C7="Monthly Rent Charge",I6+IFERROR(E7,0)+IFERROR(F7,0),I6)))</f>
        <v/>
      </c>
      <c r="J7" s="37" t="n"/>
    </row>
    <row r="8" ht="15" customHeight="1" s="62">
      <c r="A8" s="54" t="n">
        <v>45444</v>
      </c>
      <c r="B8" s="33" t="inlineStr">
        <is>
          <t>June</t>
        </is>
      </c>
      <c r="C8" s="34">
        <f>IF(B8="","","Monthly Rent Charge")</f>
        <v/>
      </c>
      <c r="D8" s="34" t="n"/>
      <c r="E8" s="35">
        <f>IF(C8="Monthly Rent Charge",$D$3,"")</f>
        <v/>
      </c>
      <c r="F8" s="35">
        <f>IF(C8="Monthly Rent Charge",$F$3,"")</f>
        <v/>
      </c>
      <c r="G8" s="41" t="n"/>
      <c r="H8" s="34" t="n"/>
      <c r="I8" s="36">
        <f>IF(A8="","",IF(C8="Payment Received",I7-IFERROR(G8,0),IF(C8="Monthly Rent Charge",I7+IFERROR(E8,0)+IFERROR(F8,0),I7)))</f>
        <v/>
      </c>
      <c r="J8" s="37" t="n"/>
    </row>
    <row r="9" ht="15" customHeight="1" s="62">
      <c r="A9" s="53" t="n">
        <v>45468</v>
      </c>
      <c r="B9" s="33" t="n"/>
      <c r="C9" s="34" t="inlineStr">
        <is>
          <t>Payment Received</t>
        </is>
      </c>
      <c r="D9" s="34" t="n"/>
      <c r="E9" s="35">
        <f>IF(C9="Monthly Rent Charge",$D$3,"")</f>
        <v/>
      </c>
      <c r="F9" s="35">
        <f>IF(C9="Monthly Rent Charge",$F$3,"")</f>
        <v/>
      </c>
      <c r="G9" s="41" t="n">
        <v>3100</v>
      </c>
      <c r="H9" s="34" t="n"/>
      <c r="I9" s="36">
        <f>IF(A9="","",IF(C9="Payment Received",I8-IFERROR(G9,0),IF(C9="Monthly Rent Charge",I8+IFERROR(E9,0)+IFERROR(F9,0),I8)))</f>
        <v/>
      </c>
      <c r="J9" s="37" t="n"/>
    </row>
    <row r="10" ht="15" customHeight="1" s="62">
      <c r="A10" s="54" t="n">
        <v>45474</v>
      </c>
      <c r="B10" s="33" t="inlineStr">
        <is>
          <t>July</t>
        </is>
      </c>
      <c r="C10" s="34">
        <f>IF(B10="","","Monthly Rent Charge")</f>
        <v/>
      </c>
      <c r="D10" s="34" t="n"/>
      <c r="E10" s="35">
        <f>IF(C10="Monthly Rent Charge",$D$3,"")</f>
        <v/>
      </c>
      <c r="F10" s="35">
        <f>IF(C10="Monthly Rent Charge",$F$3,"")</f>
        <v/>
      </c>
      <c r="G10" s="41" t="n"/>
      <c r="H10" s="34" t="n"/>
      <c r="I10" s="36">
        <f>IF(A10="","",IF(C10="Payment Received",I9-IFERROR(G10,0),IF(C10="Monthly Rent Charge",I9+IFERROR(E10,0)+IFERROR(F10,0),I9)))</f>
        <v/>
      </c>
      <c r="J10" s="37" t="n"/>
    </row>
    <row r="11" ht="15" customHeight="1" s="62">
      <c r="A11" s="53" t="n">
        <v>45491</v>
      </c>
      <c r="B11" s="33" t="n"/>
      <c r="C11" s="34" t="inlineStr">
        <is>
          <t>Payment Received</t>
        </is>
      </c>
      <c r="D11" s="34" t="n"/>
      <c r="E11" s="35">
        <f>IF(C11="Monthly Rent Charge",$D$3,"")</f>
        <v/>
      </c>
      <c r="F11" s="35">
        <f>IF(C11="Monthly Rent Charge",$F$3,"")</f>
        <v/>
      </c>
      <c r="G11" s="41" t="n">
        <v>3100</v>
      </c>
      <c r="H11" s="34" t="n"/>
      <c r="I11" s="36">
        <f>IF(A11="","",IF(C11="Payment Received",I10-IFERROR(G11,0),IF(C11="Monthly Rent Charge",I10+IFERROR(E11,0)+IFERROR(F11,0),I10)))</f>
        <v/>
      </c>
      <c r="J11" s="37" t="n"/>
    </row>
    <row r="12" ht="15" customHeight="1" s="62">
      <c r="A12" s="54" t="n">
        <v>45505</v>
      </c>
      <c r="B12" s="33" t="inlineStr">
        <is>
          <t>August</t>
        </is>
      </c>
      <c r="C12" s="34">
        <f>IF(B12="","","Monthly Rent Charge")</f>
        <v/>
      </c>
      <c r="D12" s="34" t="n"/>
      <c r="E12" s="35">
        <f>IF(C12="Monthly Rent Charge",$D$3,"")</f>
        <v/>
      </c>
      <c r="F12" s="35">
        <f>IF(C12="Monthly Rent Charge",$F$3,"")</f>
        <v/>
      </c>
      <c r="G12" s="41" t="n"/>
      <c r="H12" s="34" t="n"/>
      <c r="I12" s="36">
        <f>IF(A12="","",IF(C12="Payment Received",I11-IFERROR(G12,0),IF(C12="Monthly Rent Charge",I11+IFERROR(E12,0)+IFERROR(F12,0),I11)))</f>
        <v/>
      </c>
      <c r="J12" s="37" t="n"/>
    </row>
    <row r="13" ht="15" customHeight="1" s="62">
      <c r="A13" s="53" t="n">
        <v>45525</v>
      </c>
      <c r="B13" s="33" t="n"/>
      <c r="C13" s="34" t="inlineStr">
        <is>
          <t>Payment Received</t>
        </is>
      </c>
      <c r="D13" s="34" t="n"/>
      <c r="E13" s="35">
        <f>IF(C13="Monthly Rent Charge",$D$3,"")</f>
        <v/>
      </c>
      <c r="F13" s="35">
        <f>IF(C13="Monthly Rent Charge",$F$3,"")</f>
        <v/>
      </c>
      <c r="G13" s="41" t="n">
        <v>3000</v>
      </c>
      <c r="H13" s="34" t="n"/>
      <c r="I13" s="36">
        <f>IF(A13="","",IF(C13="Payment Received",I12-IFERROR(G13,0),IF(C13="Monthly Rent Charge",I12+IFERROR(E13,0)+IFERROR(F13,0),I12)))</f>
        <v/>
      </c>
      <c r="J13" s="37" t="n"/>
    </row>
    <row r="14" ht="15" customHeight="1" s="62">
      <c r="A14" s="54" t="n">
        <v>45536</v>
      </c>
      <c r="B14" s="33" t="inlineStr">
        <is>
          <t>September</t>
        </is>
      </c>
      <c r="C14" s="34">
        <f>IF(B14="","","Monthly Rent Charge")</f>
        <v/>
      </c>
      <c r="D14" s="34" t="n"/>
      <c r="E14" s="35">
        <f>IF(C14="Monthly Rent Charge",$D$3,"")</f>
        <v/>
      </c>
      <c r="F14" s="35">
        <f>IF(C14="Monthly Rent Charge",$F$3,"")</f>
        <v/>
      </c>
      <c r="G14" s="41" t="n"/>
      <c r="H14" s="34" t="n"/>
      <c r="I14" s="36">
        <f>IF(A14="","",IF(C14="Payment Received",I13-IFERROR(G14,0),IF(C14="Monthly Rent Charge",I13+IFERROR(E14,0)+IFERROR(F14,0),I13)))</f>
        <v/>
      </c>
      <c r="J14" s="37" t="n"/>
    </row>
    <row r="15" ht="15" customHeight="1" s="62">
      <c r="A15" s="54" t="n">
        <v>45566</v>
      </c>
      <c r="B15" s="33" t="inlineStr">
        <is>
          <t>October</t>
        </is>
      </c>
      <c r="C15" s="34">
        <f>IF(B15="","","Monthly Rent Charge")</f>
        <v/>
      </c>
      <c r="D15" s="34" t="n"/>
      <c r="E15" s="35">
        <f>IF(C15="Monthly Rent Charge",$D$3,"")</f>
        <v/>
      </c>
      <c r="F15" s="35">
        <f>IF(C15="Monthly Rent Charge",$F$3,"")</f>
        <v/>
      </c>
      <c r="G15" s="41" t="n"/>
      <c r="H15" s="34" t="n"/>
      <c r="I15" s="36">
        <f>IF(A15="","",IF(C15="Payment Received",I14-IFERROR(G15,0),IF(C15="Monthly Rent Charge",I14+IFERROR(E15,0)+IFERROR(F15,0),I14)))</f>
        <v/>
      </c>
      <c r="J15" s="37" t="n"/>
    </row>
    <row r="16" ht="15" customHeight="1" s="62">
      <c r="A16" s="53" t="n">
        <v>45572</v>
      </c>
      <c r="B16" s="33" t="n"/>
      <c r="C16" s="34" t="inlineStr">
        <is>
          <t>Payment Received</t>
        </is>
      </c>
      <c r="D16" s="34" t="n"/>
      <c r="E16" s="35">
        <f>IF(C16="Monthly Rent Charge",$D$3,"")</f>
        <v/>
      </c>
      <c r="F16" s="35">
        <f>IF(C16="Monthly Rent Charge",$F$3,"")</f>
        <v/>
      </c>
      <c r="G16" s="41" t="n">
        <v>3100</v>
      </c>
      <c r="H16" s="34" t="n"/>
      <c r="I16" s="36">
        <f>IF(A16="","",IF(C16="Payment Received",I15-IFERROR(G16,0),IF(C16="Monthly Rent Charge",I15+IFERROR(E16,0)+IFERROR(F16,0),I15)))</f>
        <v/>
      </c>
      <c r="J16" s="37" t="n"/>
    </row>
    <row r="17" ht="15" customHeight="1" s="62">
      <c r="A17" s="54" t="n">
        <v>45597</v>
      </c>
      <c r="B17" s="33" t="inlineStr">
        <is>
          <t>November</t>
        </is>
      </c>
      <c r="C17" s="34">
        <f>IF(B17="","","Monthly Rent Charge")</f>
        <v/>
      </c>
      <c r="D17" s="34" t="n"/>
      <c r="E17" s="35">
        <f>IF(C17="Monthly Rent Charge",$D$3,"")</f>
        <v/>
      </c>
      <c r="F17" s="35">
        <f>IF(C17="Monthly Rent Charge",$F$3,"")</f>
        <v/>
      </c>
      <c r="G17" s="41" t="n"/>
      <c r="H17" s="34" t="n"/>
      <c r="I17" s="36">
        <f>IF(A17="","",IF(C17="Payment Received",I16-IFERROR(G17,0),IF(C17="Monthly Rent Charge",I16+IFERROR(E17,0)+IFERROR(F17,0),I16)))</f>
        <v/>
      </c>
      <c r="J17" s="37" t="n"/>
    </row>
    <row r="18" ht="15" customHeight="1" s="62">
      <c r="A18" s="53" t="n">
        <v>45614</v>
      </c>
      <c r="B18" s="33" t="n"/>
      <c r="C18" s="34" t="inlineStr">
        <is>
          <t>Payment Received</t>
        </is>
      </c>
      <c r="D18" s="34" t="n"/>
      <c r="E18" s="35">
        <f>IF(C18="Monthly Rent Charge",$D$3,"")</f>
        <v/>
      </c>
      <c r="F18" s="35">
        <f>IF(C18="Monthly Rent Charge",$F$3,"")</f>
        <v/>
      </c>
      <c r="G18" s="41" t="n">
        <v>3000</v>
      </c>
      <c r="H18" s="34" t="n"/>
      <c r="I18" s="36">
        <f>IF(A18="","",IF(C18="Payment Received",I17-IFERROR(G18,0),IF(C18="Monthly Rent Charge",I17+IFERROR(E18,0)+IFERROR(F18,0),I17)))</f>
        <v/>
      </c>
      <c r="J18" s="37" t="n"/>
    </row>
    <row r="19" ht="15" customHeight="1" s="62">
      <c r="A19" s="54" t="n">
        <v>45627</v>
      </c>
      <c r="B19" s="33" t="inlineStr">
        <is>
          <t>December</t>
        </is>
      </c>
      <c r="C19" s="34">
        <f>IF(B19="","","Monthly Rent Charge")</f>
        <v/>
      </c>
      <c r="D19" s="34" t="n"/>
      <c r="E19" s="35">
        <f>IF(C19="Monthly Rent Charge",$D$3,"")</f>
        <v/>
      </c>
      <c r="F19" s="35">
        <f>IF(C19="Monthly Rent Charge",$F$3,"")</f>
        <v/>
      </c>
      <c r="G19" s="41" t="n"/>
      <c r="H19" s="34" t="n"/>
      <c r="I19" s="36">
        <f>IF(A19="","",IF(C19="Payment Received",I18-IFERROR(G19,0),IF(C19="Monthly Rent Charge",I18+IFERROR(E19,0)+IFERROR(F19,0),I18)))</f>
        <v/>
      </c>
      <c r="J19" s="37" t="n"/>
    </row>
    <row r="20" ht="15" customHeight="1" s="62">
      <c r="A20" s="53" t="n">
        <v>45627</v>
      </c>
      <c r="B20" s="33" t="n"/>
      <c r="C20" s="34" t="inlineStr">
        <is>
          <t>Payment Received</t>
        </is>
      </c>
      <c r="D20" s="34" t="n"/>
      <c r="E20" s="35">
        <f>IF(C20="Monthly Rent Charge",$D$3,"")</f>
        <v/>
      </c>
      <c r="F20" s="35">
        <f>IF(C20="Monthly Rent Charge",$F$3,"")</f>
        <v/>
      </c>
      <c r="G20" s="41" t="n">
        <v>3000</v>
      </c>
      <c r="H20" s="34" t="n"/>
      <c r="I20" s="36">
        <f>IF(A20="","",IF(C20="Payment Received",I19-IFERROR(G20,0),IF(C20="Monthly Rent Charge",I19+IFERROR(E20,0)+IFERROR(F20,0),I19)))</f>
        <v/>
      </c>
      <c r="J20" s="37" t="n"/>
    </row>
    <row r="21" ht="15" customHeight="1" s="62">
      <c r="A21" s="54" t="n">
        <v>45658</v>
      </c>
      <c r="B21" s="33" t="inlineStr">
        <is>
          <t>January</t>
        </is>
      </c>
      <c r="C21" s="34">
        <f>IF(B21="","","Monthly Rent Charge")</f>
        <v/>
      </c>
      <c r="D21" s="34" t="n"/>
      <c r="E21" s="35">
        <f>IF(C21="Monthly Rent Charge",$D$3,"")</f>
        <v/>
      </c>
      <c r="F21" s="35">
        <f>IF(C21="Monthly Rent Charge",$F$3,"")</f>
        <v/>
      </c>
      <c r="G21" s="41" t="n"/>
      <c r="H21" s="34" t="n"/>
      <c r="I21" s="36">
        <f>IF(A21="","",IF(C21="Payment Received",I20-IFERROR(G21,0),IF(C21="Monthly Rent Charge",I20+IFERROR(E21,0)+IFERROR(F21,0),I20)))</f>
        <v/>
      </c>
      <c r="J21" s="37" t="n"/>
    </row>
    <row r="22" ht="15" customHeight="1" s="62">
      <c r="A22" s="53" t="n">
        <v>45661</v>
      </c>
      <c r="B22" s="33" t="n"/>
      <c r="C22" s="34" t="inlineStr">
        <is>
          <t>Payment Received</t>
        </is>
      </c>
      <c r="D22" s="34" t="n"/>
      <c r="E22" s="35">
        <f>IF(C22="Monthly Rent Charge",$D$3,"")</f>
        <v/>
      </c>
      <c r="F22" s="35">
        <f>IF(C22="Monthly Rent Charge",$F$3,"")</f>
        <v/>
      </c>
      <c r="G22" s="41" t="n">
        <v>3000</v>
      </c>
      <c r="H22" s="39" t="inlineStr">
        <is>
          <t>TA48VOSWB2</t>
        </is>
      </c>
      <c r="I22" s="36">
        <f>IF(A22="","",IF(C22="Payment Received",I21-IFERROR(G22,0),IF(C22="Monthly Rent Charge",I21+IFERROR(E22,0)+IFERROR(F22,0),I21)))</f>
        <v/>
      </c>
      <c r="J22" s="37" t="n"/>
    </row>
    <row r="23" ht="15" customHeight="1" s="62">
      <c r="A23" s="54" t="n">
        <v>45689</v>
      </c>
      <c r="B23" s="33" t="inlineStr">
        <is>
          <t>February</t>
        </is>
      </c>
      <c r="C23" s="34">
        <f>IF(B23="","","Monthly Rent Charge")</f>
        <v/>
      </c>
      <c r="D23" s="34" t="n"/>
      <c r="E23" s="35">
        <f>IF(C23="Monthly Rent Charge",$D$3,"")</f>
        <v/>
      </c>
      <c r="F23" s="35">
        <f>IF(C23="Monthly Rent Charge",$F$3,"")</f>
        <v/>
      </c>
      <c r="G23" s="41" t="n"/>
      <c r="H23" s="34" t="n"/>
      <c r="I23" s="36">
        <f>IF(A23="","",IF(C23="Payment Received",I22-IFERROR(G23,0),IF(C23="Monthly Rent Charge",I22+IFERROR(E23,0)+IFERROR(F23,0),I22)))</f>
        <v/>
      </c>
      <c r="J23" s="37" t="n"/>
    </row>
    <row r="24" ht="15" customHeight="1" s="62">
      <c r="A24" s="53" t="n">
        <v>45705</v>
      </c>
      <c r="B24" s="33" t="n"/>
      <c r="C24" s="34" t="inlineStr">
        <is>
          <t>Payment Received</t>
        </is>
      </c>
      <c r="D24" s="34" t="n"/>
      <c r="E24" s="35">
        <f>IF(C24="Monthly Rent Charge",$D$3,"")</f>
        <v/>
      </c>
      <c r="F24" s="35">
        <f>IF(C24="Monthly Rent Charge",$F$3,"")</f>
        <v/>
      </c>
      <c r="G24" s="41" t="n">
        <v>4500</v>
      </c>
      <c r="H24" s="39" t="inlineStr">
        <is>
          <t>TBH1CXME8H</t>
        </is>
      </c>
      <c r="I24" s="36">
        <f>IF(A24="","",IF(C24="Payment Received",I23-IFERROR(G24,0),IF(C24="Monthly Rent Charge",I23+IFERROR(E24,0)+IFERROR(F24,0),I23)))</f>
        <v/>
      </c>
      <c r="J24" s="37" t="n"/>
    </row>
    <row r="25" ht="15" customHeight="1" s="62">
      <c r="A25" s="54" t="n">
        <v>45717</v>
      </c>
      <c r="B25" s="33" t="inlineStr">
        <is>
          <t>March</t>
        </is>
      </c>
      <c r="C25" s="34">
        <f>IF(B25="","","Monthly Rent Charge")</f>
        <v/>
      </c>
      <c r="D25" s="34" t="n"/>
      <c r="E25" s="35">
        <f>IF(C25="Monthly Rent Charge",$D$3,"")</f>
        <v/>
      </c>
      <c r="F25" s="35">
        <f>IF(C25="Monthly Rent Charge",$F$3,"")</f>
        <v/>
      </c>
      <c r="G25" s="41" t="n"/>
      <c r="H25" s="34" t="n"/>
      <c r="I25" s="36">
        <f>IF(A25="","",IF(C25="Payment Received",I24-IFERROR(G25,0),IF(C25="Monthly Rent Charge",I24+IFERROR(E25,0)+IFERROR(F25,0),I24)))</f>
        <v/>
      </c>
      <c r="J25" s="37" t="n"/>
    </row>
    <row r="26" ht="15" customHeight="1" s="62">
      <c r="A26" s="53" t="n">
        <v>45739</v>
      </c>
      <c r="B26" s="33" t="n"/>
      <c r="C26" s="34" t="inlineStr">
        <is>
          <t>Payment Received</t>
        </is>
      </c>
      <c r="D26" s="34" t="n"/>
      <c r="E26" s="35">
        <f>IF(C26="Monthly Rent Charge",$D$3,"")</f>
        <v/>
      </c>
      <c r="F26" s="35">
        <f>IF(C26="Monthly Rent Charge",$F$3,"")</f>
        <v/>
      </c>
      <c r="G26" s="41" t="n">
        <v>4000</v>
      </c>
      <c r="H26" s="39" t="inlineStr">
        <is>
          <t>TCN2UO3OLA</t>
        </is>
      </c>
      <c r="I26" s="36">
        <f>IF(A26="","",IF(C26="Payment Received",I25-IFERROR(G26,0),IF(C26="Monthly Rent Charge",I25+IFERROR(E26,0)+IFERROR(F26,0),I25)))</f>
        <v/>
      </c>
      <c r="J26" s="37" t="n"/>
    </row>
    <row r="27" ht="15" customHeight="1" s="62">
      <c r="A27" s="54" t="n">
        <v>45748</v>
      </c>
      <c r="B27" s="33" t="inlineStr">
        <is>
          <t>April</t>
        </is>
      </c>
      <c r="C27" s="34">
        <f>IF(B27="","","Monthly Rent Charge")</f>
        <v/>
      </c>
      <c r="D27" s="34" t="n"/>
      <c r="E27" s="35">
        <f>IF(C27="Monthly Rent Charge",$D$3,"")</f>
        <v/>
      </c>
      <c r="F27" s="35">
        <f>IF(C27="Monthly Rent Charge",$F$3,"")</f>
        <v/>
      </c>
      <c r="G27" s="41" t="n"/>
      <c r="H27" s="34" t="n"/>
      <c r="I27" s="36">
        <f>IF(A27="","",IF(C27="Payment Received",I26-IFERROR(G27,0),IF(C27="Monthly Rent Charge",I26+IFERROR(E27,0)+IFERROR(F27,0),I26)))</f>
        <v/>
      </c>
      <c r="J27" s="37" t="n"/>
    </row>
    <row r="28" ht="15" customHeight="1" s="62">
      <c r="A28" s="54" t="n">
        <v>45778</v>
      </c>
      <c r="B28" s="33" t="inlineStr">
        <is>
          <t>May</t>
        </is>
      </c>
      <c r="C28" s="34">
        <f>IF(B28="","","Monthly Rent Charge")</f>
        <v/>
      </c>
      <c r="D28" s="34" t="n"/>
      <c r="E28" s="35">
        <f>IF(C28="Monthly Rent Charge",$D$3,"")</f>
        <v/>
      </c>
      <c r="F28" s="35">
        <f>IF(C28="Monthly Rent Charge",$F$3,"")</f>
        <v/>
      </c>
      <c r="G28" s="41" t="n"/>
      <c r="H28" s="34" t="n"/>
      <c r="I28" s="36">
        <f>IF(A28="","",IF(C28="Payment Received",I27-IFERROR(G28,0),IF(C28="Monthly Rent Charge",I27+IFERROR(E28,0)+IFERROR(F28,0),I27)))</f>
        <v/>
      </c>
      <c r="J28" s="37" t="n"/>
    </row>
    <row r="29" ht="15" customHeight="1" s="62">
      <c r="A29" s="53" t="n">
        <v>45787</v>
      </c>
      <c r="B29" s="33" t="n"/>
      <c r="C29" s="34" t="inlineStr">
        <is>
          <t>Payment Received</t>
        </is>
      </c>
      <c r="D29" s="34" t="n"/>
      <c r="E29" s="35">
        <f>IF(C29="Monthly Rent Charge",$D$3,"")</f>
        <v/>
      </c>
      <c r="F29" s="35">
        <f>IF(C29="Monthly Rent Charge",$F$3,"")</f>
        <v/>
      </c>
      <c r="G29" s="41" t="n">
        <v>4000</v>
      </c>
      <c r="H29" s="39" t="inlineStr">
        <is>
          <t>TEA154FEJT</t>
        </is>
      </c>
      <c r="I29" s="36">
        <f>IF(A29="","",IF(C29="Payment Received",I28-IFERROR(G29,0),IF(C29="Monthly Rent Charge",I28+IFERROR(E29,0)+IFERROR(F29,0),I28)))</f>
        <v/>
      </c>
      <c r="J29" s="37" t="n"/>
    </row>
    <row r="30" ht="15" customHeight="1" s="62">
      <c r="A30" s="54" t="n">
        <v>45809</v>
      </c>
      <c r="B30" s="33" t="inlineStr">
        <is>
          <t>June</t>
        </is>
      </c>
      <c r="C30" s="34">
        <f>IF(B30="","","Monthly Rent Charge")</f>
        <v/>
      </c>
      <c r="D30" s="34" t="n"/>
      <c r="E30" s="35">
        <f>IF(C30="Monthly Rent Charge",$D$3,"")</f>
        <v/>
      </c>
      <c r="F30" s="35">
        <f>IF(C30="Monthly Rent Charge",$F$3,"")</f>
        <v/>
      </c>
      <c r="G30" s="41" t="n"/>
      <c r="H30" s="34" t="n"/>
      <c r="I30" s="36">
        <f>IF(A30="","",IF(C30="Payment Received",I29-IFERROR(G30,0),IF(C30="Monthly Rent Charge",I29+IFERROR(E30,0)+IFERROR(F30,0),I29)))</f>
        <v/>
      </c>
      <c r="J30" s="37" t="n"/>
    </row>
    <row r="31" ht="15" customHeight="1" s="62">
      <c r="A31" s="54" t="n">
        <v>45839</v>
      </c>
      <c r="B31" s="33" t="inlineStr">
        <is>
          <t>July</t>
        </is>
      </c>
      <c r="C31" s="34">
        <f>IF(B31="","","Monthly Rent Charge")</f>
        <v/>
      </c>
      <c r="D31" s="34" t="n"/>
      <c r="E31" s="35">
        <f>IF(C31="Monthly Rent Charge",$D$3,"")</f>
        <v/>
      </c>
      <c r="F31" s="35">
        <f>IF(C31="Monthly Rent Charge",$F$3,"")</f>
        <v/>
      </c>
      <c r="G31" s="41" t="n"/>
      <c r="H31" s="34" t="n"/>
      <c r="I31" s="36">
        <f>IF(A31="","",IF(C31="Payment Received",I30-IFERROR(G31,0),IF(C31="Monthly Rent Charge",I30+IFERROR(E31,0)+IFERROR(F31,0),I30)))</f>
        <v/>
      </c>
      <c r="J31" s="37" t="n"/>
    </row>
    <row r="32" ht="15" customHeight="1" s="62">
      <c r="A32" s="53" t="n">
        <v>45850</v>
      </c>
      <c r="B32" s="33" t="n"/>
      <c r="C32" s="34" t="inlineStr">
        <is>
          <t>Payment Received</t>
        </is>
      </c>
      <c r="D32" s="34" t="n"/>
      <c r="E32" s="35">
        <f>IF(C32="Monthly Rent Charge",$D$3,"")</f>
        <v/>
      </c>
      <c r="F32" s="35">
        <f>IF(C32="Monthly Rent Charge",$F$3,"")</f>
        <v/>
      </c>
      <c r="G32" s="41" t="n">
        <v>5000</v>
      </c>
      <c r="H32" s="39" t="inlineStr">
        <is>
          <t>TGC9R2RCKV</t>
        </is>
      </c>
      <c r="I32" s="36">
        <f>IF(A32="","",IF(C32="Payment Received",I31-IFERROR(G32,0),IF(C32="Monthly Rent Charge",I31+IFERROR(E32,0)+IFERROR(F32,0),I31)))</f>
        <v/>
      </c>
      <c r="J32" s="37" t="n"/>
    </row>
    <row r="33" ht="15" customHeight="1" s="62">
      <c r="A33" s="54" t="n">
        <v>45870</v>
      </c>
      <c r="B33" s="33" t="inlineStr">
        <is>
          <t>August</t>
        </is>
      </c>
      <c r="C33" s="34">
        <f>IF(B33="","","Monthly Rent Charge")</f>
        <v/>
      </c>
      <c r="D33" s="34" t="n"/>
      <c r="E33" s="35">
        <f>IF(C33="Monthly Rent Charge",$D$3,"")</f>
        <v/>
      </c>
      <c r="F33" s="35">
        <f>IF(C33="Monthly Rent Charge",$F$3,"")</f>
        <v/>
      </c>
      <c r="G33" s="41" t="n"/>
      <c r="H33" s="34" t="n"/>
      <c r="I33" s="36">
        <f>IF(A33="","",IF(C33="Payment Received",I32-IFERROR(G33,0),IF(C33="Monthly Rent Charge",I32+IFERROR(E33,0)+IFERROR(F33,0),I32)))</f>
        <v/>
      </c>
      <c r="J33" s="37" t="n"/>
    </row>
    <row r="34" ht="15" customHeight="1" s="62">
      <c r="A34" s="53" t="n">
        <v>45883</v>
      </c>
      <c r="B34" s="33" t="n"/>
      <c r="C34" s="34" t="inlineStr">
        <is>
          <t>Payment Received</t>
        </is>
      </c>
      <c r="D34" s="34" t="n"/>
      <c r="E34" s="35">
        <f>IF(C34="Monthly Rent Charge",$D$3,"")</f>
        <v/>
      </c>
      <c r="F34" s="35">
        <f>IF(C34="Monthly Rent Charge",$F$3,"")</f>
        <v/>
      </c>
      <c r="G34" s="41" t="n">
        <v>4000</v>
      </c>
      <c r="H34" s="39" t="inlineStr">
        <is>
          <t>THE89DS530</t>
        </is>
      </c>
      <c r="I34" s="36">
        <f>IF(A34="","",IF(C34="Payment Received",I33-IFERROR(G34,0),IF(C34="Monthly Rent Charge",I33+IFERROR(E34,0)+IFERROR(F34,0),I33)))</f>
        <v/>
      </c>
      <c r="J34" s="37" t="n"/>
    </row>
    <row r="35" ht="15" customHeight="1" s="62">
      <c r="A35" s="54" t="n">
        <v>45901</v>
      </c>
      <c r="B35" s="33" t="inlineStr">
        <is>
          <t>September</t>
        </is>
      </c>
      <c r="C35" s="34">
        <f>IF(B35="","","Monthly Rent Charge")</f>
        <v/>
      </c>
      <c r="D35" s="34" t="n"/>
      <c r="E35" s="35">
        <f>IF(C35="Monthly Rent Charge",$D$3,"")</f>
        <v/>
      </c>
      <c r="F35" s="35">
        <f>IF(C35="Monthly Rent Charge",$F$3,"")</f>
        <v/>
      </c>
      <c r="G35" s="41" t="n"/>
      <c r="H35" s="34" t="n"/>
      <c r="I35" s="36">
        <f>IF(A35="","",IF(C35="Payment Received",I34-IFERROR(G35,0),IF(C35="Monthly Rent Charge",I34+IFERROR(E35,0)+IFERROR(F35,0),I34)))</f>
        <v/>
      </c>
      <c r="J35" s="37" t="n"/>
    </row>
    <row r="36" ht="15" customHeight="1" s="62">
      <c r="A36" s="53" t="n">
        <v>45911</v>
      </c>
      <c r="B36" s="33" t="n"/>
      <c r="C36" s="34" t="inlineStr">
        <is>
          <t>Payment Received</t>
        </is>
      </c>
      <c r="D36" s="34" t="n"/>
      <c r="E36" s="35">
        <f>IF(C36="Monthly Rent Charge",$D$3,"")</f>
        <v/>
      </c>
      <c r="F36" s="35">
        <f>IF(C36="Monthly Rent Charge",$F$3,"")</f>
        <v/>
      </c>
      <c r="G36" s="41" t="n">
        <v>3100</v>
      </c>
      <c r="H36" s="39" t="inlineStr">
        <is>
          <t>TIB5D4NWMV</t>
        </is>
      </c>
      <c r="I36" s="36">
        <f>IF(A36="","",IF(C36="Payment Received",I35-IFERROR(G36,0),IF(C36="Monthly Rent Charge",I35+IFERROR(E36,0)+IFERROR(F36,0),I35)))</f>
        <v/>
      </c>
      <c r="J36" s="37" t="n"/>
    </row>
    <row r="37" ht="15" customHeight="1" s="62">
      <c r="A37" s="54" t="n">
        <v>45931</v>
      </c>
      <c r="B37" s="33" t="inlineStr">
        <is>
          <t>October</t>
        </is>
      </c>
      <c r="C37" s="34">
        <f>IF(B37="","","Monthly Rent Charge")</f>
        <v/>
      </c>
      <c r="D37" s="34" t="n"/>
      <c r="E37" s="35">
        <f>IF(C37="Monthly Rent Charge",$D$3,"")</f>
        <v/>
      </c>
      <c r="F37" s="35">
        <f>IF(C37="Monthly Rent Charge",$F$3,"")</f>
        <v/>
      </c>
      <c r="G37" s="41" t="n"/>
      <c r="H37" s="34" t="n"/>
      <c r="I37" s="36">
        <f>IF(A37="","",IF(C37="Payment Received",I36-IFERROR(G37,0),IF(C37="Monthly Rent Charge",I36+IFERROR(E37,0)+IFERROR(F37,0),I36)))</f>
        <v/>
      </c>
      <c r="J37" s="37" t="n"/>
    </row>
    <row r="38" ht="15" customHeight="1" s="62">
      <c r="A38" s="53" t="n">
        <v>45956</v>
      </c>
      <c r="B38" s="33" t="n"/>
      <c r="C38" s="34" t="inlineStr">
        <is>
          <t>Payment Received</t>
        </is>
      </c>
      <c r="D38" s="34" t="n"/>
      <c r="E38" s="35">
        <f>IF(C38="Monthly Rent Charge",$D$3,"")</f>
        <v/>
      </c>
      <c r="F38" s="35">
        <f>IF(C38="Monthly Rent Charge",$F$3,"")</f>
        <v/>
      </c>
      <c r="G38" s="41" t="n">
        <v>3100</v>
      </c>
      <c r="H38" s="39" t="inlineStr">
        <is>
          <t>TJQIU8C8Q9</t>
        </is>
      </c>
      <c r="I38" s="36">
        <f>IF(A38="","",IF(C38="Payment Received",I37-IFERROR(G38,0),IF(C38="Monthly Rent Charge",I37+IFERROR(E38,0)+IFERROR(F38,0),I37)))</f>
        <v/>
      </c>
      <c r="J38" s="37" t="n"/>
    </row>
    <row r="39" ht="15" customHeight="1" s="62">
      <c r="A39" s="54" t="n">
        <v>45962</v>
      </c>
      <c r="B39" s="33" t="inlineStr">
        <is>
          <t>November</t>
        </is>
      </c>
      <c r="C39" s="34">
        <f>IF(B39="","","Monthly Rent Charge")</f>
        <v/>
      </c>
      <c r="D39" s="34" t="n"/>
      <c r="E39" s="35">
        <f>IF(C39="Monthly Rent Charge",$D$3,"")</f>
        <v/>
      </c>
      <c r="F39" s="35">
        <f>IF(C39="Monthly Rent Charge",$F$3,"")</f>
        <v/>
      </c>
      <c r="G39" s="41" t="n"/>
      <c r="H39" s="34" t="n"/>
      <c r="I39" s="36">
        <f>IF(A39="","",IF(C39="Payment Received",I38-IFERROR(G39,0),IF(C39="Monthly Rent Charge",I38+IFERROR(E39,0)+IFERROR(F39,0),I38)))</f>
        <v/>
      </c>
      <c r="J39" s="37" t="n"/>
    </row>
    <row r="40" ht="15" customHeight="1" s="62">
      <c r="A40" s="53" t="n">
        <v>45986</v>
      </c>
      <c r="B40" s="33" t="n"/>
      <c r="C40" s="34" t="inlineStr">
        <is>
          <t>Payment Received</t>
        </is>
      </c>
      <c r="D40" s="34" t="n"/>
      <c r="E40" s="35">
        <f>IF(C40="Monthly Rent Charge",$D$3,"")</f>
        <v/>
      </c>
      <c r="F40" s="35">
        <f>IF(C40="Monthly Rent Charge",$F$3,"")</f>
        <v/>
      </c>
      <c r="G40" s="41" t="n">
        <v>3100</v>
      </c>
      <c r="H40" s="39" t="inlineStr">
        <is>
          <t>TKPIUB3KFA</t>
        </is>
      </c>
      <c r="I40" s="36">
        <f>IF(A40="","",IF(C40="Payment Received",I39-IFERROR(G40,0),IF(C40="Monthly Rent Charge",I39+IFERROR(E40,0)+IFERROR(F40,0),I39)))</f>
        <v/>
      </c>
      <c r="J40" s="37" t="n"/>
    </row>
    <row r="41" ht="15" customHeight="1" s="62">
      <c r="A41" s="54" t="n">
        <v>45992</v>
      </c>
      <c r="B41" s="33" t="inlineStr">
        <is>
          <t>December</t>
        </is>
      </c>
      <c r="C41" s="34">
        <f>IF(B41="","","Monthly Rent Charge")</f>
        <v/>
      </c>
      <c r="D41" s="34" t="n"/>
      <c r="E41" s="35">
        <f>IF(C41="Monthly Rent Charge",$D$3,"")</f>
        <v/>
      </c>
      <c r="F41" s="35">
        <f>IF(C41="Monthly Rent Charge",$F$3,"")</f>
        <v/>
      </c>
      <c r="G41" s="41" t="n"/>
      <c r="H41" s="34" t="n"/>
      <c r="I41" s="36">
        <f>IF(A41="","",IF(C41="Payment Received",I40-IFERROR(G41,0),IF(C41="Monthly Rent Charge",I40+IFERROR(E41,0)+IFERROR(F41,0),I40)))</f>
        <v/>
      </c>
      <c r="J41" s="37" t="n"/>
    </row>
    <row r="42" ht="15" customHeight="1" s="62">
      <c r="A42" s="54">
        <f>IF(B42="","",DATE(YEAR(TODAY()),MATCH(B42,{"January","February","March","April","May","June","July","August","September","October","November","December"},0),1))</f>
        <v/>
      </c>
      <c r="B42" s="33" t="inlineStr">
        <is>
          <t>January</t>
        </is>
      </c>
      <c r="C42" s="34" t="inlineStr">
        <is>
          <t>Monthly Rent Charge</t>
        </is>
      </c>
      <c r="D42" s="34" t="n"/>
      <c r="E42" s="35">
        <f>IF(C42="Monthly Rent Charge",$D$3,"")</f>
        <v/>
      </c>
      <c r="F42" s="35">
        <f>IF(C42="Monthly Rent Charge",$F$3,"")</f>
        <v/>
      </c>
      <c r="G42" s="41" t="n"/>
      <c r="H42" s="34" t="n"/>
      <c r="I42" s="36">
        <f>IF(A42="","",IF(C42="Payment Received",I41-IFERROR(G42,0),IF(C42="Monthly Rent Charge",I41+IFERROR(E42,0)+IFERROR(F42,0),I41)))</f>
        <v/>
      </c>
      <c r="J42" s="37" t="n"/>
    </row>
    <row r="43" ht="15" customHeight="1" s="62">
      <c r="A43" s="53" t="n">
        <v>46028</v>
      </c>
      <c r="B43" s="33" t="n"/>
      <c r="C43" s="34" t="inlineStr">
        <is>
          <t>Payment Received</t>
        </is>
      </c>
      <c r="D43" s="34" t="n"/>
      <c r="E43" s="35">
        <f>IF(C43="Monthly Rent Charge",$D$3,"")</f>
        <v/>
      </c>
      <c r="F43" s="35">
        <f>IF(C43="Monthly Rent Charge",$F$3,"")</f>
        <v/>
      </c>
      <c r="G43" s="41" t="n">
        <v>4000</v>
      </c>
      <c r="H43" s="39" t="inlineStr">
        <is>
          <t>ua6iu2y99K</t>
        </is>
      </c>
      <c r="I43" s="36">
        <f>IF(A43="","",IF(C43="Payment Received",I42-IFERROR(G43,0),IF(C43="Monthly Rent Charge",I42+IFERROR(E43,0)+IFERROR(F43,0),I42)))</f>
        <v/>
      </c>
      <c r="J43" s="37" t="n"/>
    </row>
    <row r="44" ht="15" customHeight="1" s="62">
      <c r="A44" s="54">
        <f>IF(B44="","",DATE(YEAR(TODAY()),MATCH(B44,{"January","February","March","April","May","June","July","August","September","October","November","December"},0),1))</f>
        <v/>
      </c>
      <c r="B44" s="33" t="inlineStr">
        <is>
          <t>February</t>
        </is>
      </c>
      <c r="C44" s="34">
        <f>IF(B44="","","Monthly Rent Charge")</f>
        <v/>
      </c>
      <c r="D44" s="34" t="n"/>
      <c r="E44" s="35">
        <f>IF(C44="Monthly Rent Charge",$D$3,"")</f>
        <v/>
      </c>
      <c r="F44" s="35">
        <f>IF(C44="Monthly Rent Charge",$F$3,"")</f>
        <v/>
      </c>
      <c r="G44" s="41" t="n"/>
      <c r="H44" s="34" t="n"/>
      <c r="I44" s="36">
        <f>IF(A44="","",IF(C44="Payment Received",I43-IFERROR(G44,0),IF(C44="Monthly Rent Charge",I43+IFERROR(E44,0)+IFERROR(F44,0),I43)))</f>
        <v/>
      </c>
      <c r="J44" s="37" t="n"/>
    </row>
    <row r="45" ht="15" customHeight="1" s="62">
      <c r="A45" s="53" t="n">
        <v>46073</v>
      </c>
      <c r="B45" s="33" t="n"/>
      <c r="C45" s="34" t="inlineStr">
        <is>
          <t>Payment Received</t>
        </is>
      </c>
      <c r="D45" s="34" t="n"/>
      <c r="E45" s="35">
        <f>IF(C45="Monthly Rent Charge",$D$3,"")</f>
        <v/>
      </c>
      <c r="F45" s="35">
        <f>IF(C45="Monthly Rent Charge",$F$3,"")</f>
        <v/>
      </c>
      <c r="G45" s="41" t="n">
        <v>4100</v>
      </c>
      <c r="H45" s="39" t="inlineStr">
        <is>
          <t>UBKIU73PZH</t>
        </is>
      </c>
      <c r="I45" s="36">
        <f>IF(A45="","",IF(C45="Payment Received",I44-IFERROR(G45,0),IF(C45="Monthly Rent Charge",I44+IFERROR(E45,0)+IFERROR(F45,0),I44)))</f>
        <v/>
      </c>
      <c r="J45" s="37" t="n"/>
    </row>
    <row r="46" ht="15" customHeight="1" s="62">
      <c r="A46" s="54">
        <f>IF(B46="","",DATE(YEAR(TODAY()),MATCH(B46,{"January","February","March","April","May","June","July","August","September","October","November","December"},0),1))</f>
        <v/>
      </c>
      <c r="B46" s="33" t="inlineStr">
        <is>
          <t>March</t>
        </is>
      </c>
      <c r="C46" s="34">
        <f>IF(B46="","","Monthly Rent Charge")</f>
        <v/>
      </c>
      <c r="D46" s="34" t="n"/>
      <c r="E46" s="35">
        <f>IF(C46="Monthly Rent Charge",$D$3,"")</f>
        <v/>
      </c>
      <c r="F46" s="35">
        <f>IF(C46="Monthly Rent Charge",$F$3,"")</f>
        <v/>
      </c>
      <c r="G46" s="41" t="n"/>
      <c r="H46" s="34" t="n"/>
      <c r="I46" s="36">
        <f>IF(A46="","",IF(C46="Payment Received",I45-IFERROR(G46,0),IF(C46="Monthly Rent Charge",I45+IFERROR(E46,0)+IFERROR(F46,0),I45)))</f>
        <v/>
      </c>
      <c r="J46" s="37" t="n"/>
    </row>
    <row r="47" ht="15" customHeight="1" s="62">
      <c r="A47" s="53" t="n">
        <v>46100</v>
      </c>
      <c r="B47" s="33" t="n"/>
      <c r="C47" s="34" t="inlineStr">
        <is>
          <t>Payment Received</t>
        </is>
      </c>
      <c r="D47" s="34" t="n"/>
      <c r="E47" s="35">
        <f>IF(C47="Monthly Rent Charge",$D$3,"")</f>
        <v/>
      </c>
      <c r="F47" s="35">
        <f>IF(C47="Monthly Rent Charge",$F$3,"")</f>
        <v/>
      </c>
      <c r="G47" s="41" t="n">
        <v>4100</v>
      </c>
      <c r="H47" s="39" t="inlineStr">
        <is>
          <t>UCJIU9OJZN</t>
        </is>
      </c>
      <c r="I47" s="36">
        <f>IF(A47="","",IF(C47="Payment Received",I46-IFERROR(G47,0),IF(C47="Monthly Rent Charge",I46+IFERROR(E47,0)+IFERROR(F47,0),I46)))</f>
        <v/>
      </c>
      <c r="J47" s="37" t="n"/>
    </row>
    <row r="48" ht="15" customHeight="1" s="62">
      <c r="A48" s="54">
        <f>IF(B48="","",DATE(YEAR(TODAY()),MATCH(B48,{"January","February","March","April","May","June","July","August","September","October","November","December"},0),1))</f>
        <v/>
      </c>
      <c r="B48" s="33" t="inlineStr">
        <is>
          <t>April</t>
        </is>
      </c>
      <c r="C48" s="34">
        <f>IF(B48="","","Monthly Rent Charge")</f>
        <v/>
      </c>
      <c r="D48" s="34" t="n"/>
      <c r="E48" s="35">
        <f>IF(C48="Monthly Rent Charge",$D$3,"")</f>
        <v/>
      </c>
      <c r="F48" s="35">
        <f>IF(C48="Monthly Rent Charge",$F$3,"")</f>
        <v/>
      </c>
      <c r="G48" s="41" t="n"/>
      <c r="H48" s="34" t="n"/>
      <c r="I48" s="36">
        <f>IF(A48="","",IF(C48="Payment Received",I47-IFERROR(G48,0),IF(C48="Monthly Rent Charge",I47+IFERROR(E48,0)+IFERROR(F48,0),I47)))</f>
        <v/>
      </c>
      <c r="J48" s="37" t="n"/>
    </row>
    <row r="49" ht="15" customHeight="1" s="62">
      <c r="A49" s="53" t="n">
        <v>46137</v>
      </c>
      <c r="B49" s="33" t="n"/>
      <c r="C49" s="34" t="inlineStr">
        <is>
          <t>Payment Received</t>
        </is>
      </c>
      <c r="D49" s="34" t="n"/>
      <c r="E49" s="35">
        <f>IF(C49="Monthly Rent Charge",$D$3,"")</f>
        <v/>
      </c>
      <c r="F49" s="35">
        <f>IF(C49="Monthly Rent Charge",$F$3,"")</f>
        <v/>
      </c>
      <c r="G49" s="41" t="n">
        <v>3000</v>
      </c>
      <c r="H49" s="39" t="inlineStr">
        <is>
          <t>UDPIU20RHL</t>
        </is>
      </c>
      <c r="I49" s="36">
        <f>IF(A49="","",IF(C49="Payment Received",I48-IFERROR(G49,0),IF(C49="Monthly Rent Charge",I48+IFERROR(E49,0)+IFERROR(F49,0),I48)))</f>
        <v/>
      </c>
      <c r="J49" s="37" t="n"/>
    </row>
    <row r="50" ht="15" customHeight="1" s="62">
      <c r="A50" s="54">
        <f>IF(B50="","",DATE(YEAR(TODAY()),MATCH(B50,{"January","February","March","April","May","June","July","August","September","October","November","December"},0),1))</f>
        <v/>
      </c>
      <c r="B50" s="33" t="inlineStr">
        <is>
          <t>May</t>
        </is>
      </c>
      <c r="C50" s="34">
        <f>IF(B50="","","Monthly Rent Charge")</f>
        <v/>
      </c>
      <c r="D50" s="34" t="n"/>
      <c r="E50" s="35">
        <f>IF(C50="Monthly Rent Charge",$D$3,"")</f>
        <v/>
      </c>
      <c r="F50" s="35">
        <f>IF(C50="Monthly Rent Charge",$F$3,"")</f>
        <v/>
      </c>
      <c r="G50" s="41" t="n"/>
      <c r="H50" s="34" t="n"/>
      <c r="I50" s="36">
        <f>IF(AND(A50="",C50=""),"",IF(C50="Payment Received",I49-IFERROR(G50,0),IF(C50="Monthly Rent Charge",I49+IFERROR(E50,0)+IFERROR(F50,0),I49)))</f>
        <v/>
      </c>
      <c r="J50" s="37" t="n"/>
    </row>
    <row r="51" ht="15" customHeight="1" s="62">
      <c r="A51" s="54">
        <f>IF(B51="","",DATE(YEAR(TODAY()),MATCH(B51,{"January","February","March","April","May","June","July","August","September","October","November","December"},0),1))</f>
        <v/>
      </c>
      <c r="B51" s="33" t="inlineStr">
        <is>
          <t>June</t>
        </is>
      </c>
      <c r="C51" s="34">
        <f>IF(B51="","","Monthly Rent Charge")</f>
        <v/>
      </c>
      <c r="D51" s="34" t="n"/>
      <c r="E51" s="35">
        <f>IF(C51="Monthly Rent Charge",$D$3,"")</f>
        <v/>
      </c>
      <c r="F51" s="35">
        <f>IF(C51="Monthly Rent Charge",$F$3,"")</f>
        <v/>
      </c>
      <c r="G51" s="41" t="n"/>
      <c r="H51" s="34" t="n"/>
      <c r="I51" s="36">
        <f>IF(AND(A51="",C51=""),"",IF(C51="Payment Received",I50-IFERROR(G51,0),IF(C51="Monthly Rent Charge",I50+IFERROR(E51,0)+IFERROR(F51,0),I50)))</f>
        <v/>
      </c>
      <c r="J51" s="37" t="n"/>
    </row>
    <row r="52" ht="15" customHeight="1" s="62">
      <c r="A52" s="54" t="n">
        <v>46183</v>
      </c>
      <c r="B52" s="33" t="n"/>
      <c r="C52" s="34" t="inlineStr">
        <is>
          <t>Payment Received</t>
        </is>
      </c>
      <c r="D52" s="34" t="n"/>
      <c r="E52" s="35">
        <f>IF(C52="Monthly Rent Charge",$D$3,"")</f>
        <v/>
      </c>
      <c r="F52" s="35">
        <f>IF(C52="Monthly Rent Charge",$F$3,"")</f>
        <v/>
      </c>
      <c r="G52" s="41" t="n">
        <v>4000</v>
      </c>
      <c r="H52" s="34" t="inlineStr">
        <is>
          <t>UFAIU76PUE</t>
        </is>
      </c>
      <c r="I52" s="36">
        <f>IF(AND(A52="",C52=""),"",IF(C52="Payment Received",I51-IFERROR(G52,0),IF(C52="Monthly Rent Charge",I51+IFERROR(E52,0)+IFERROR(F52,0),I51)))</f>
        <v/>
      </c>
      <c r="J52" s="37" t="n"/>
    </row>
    <row r="53" ht="15" customHeight="1" s="62">
      <c r="A53" s="54">
        <f>IF(B53="","",DATE(YEAR(TODAY()),MATCH(B53,{"January","February","March","April","May","June","July","August","September","October","November","December"},0),1))</f>
        <v/>
      </c>
      <c r="B53" s="33" t="inlineStr">
        <is>
          <t>July</t>
        </is>
      </c>
      <c r="C53" s="34">
        <f>IF(B53="","","Monthly Rent Charge")</f>
        <v/>
      </c>
      <c r="D53" s="34" t="n"/>
      <c r="E53" s="35">
        <f>IF(C53="Monthly Rent Charge",$D$3,"")</f>
        <v/>
      </c>
      <c r="F53" s="35">
        <f>IF(C53="Monthly Rent Charge",$F$3,"")</f>
        <v/>
      </c>
      <c r="G53" s="41" t="n"/>
      <c r="H53" s="34" t="n"/>
      <c r="I53" s="36">
        <f>IF(AND(A53="",C53=""),"",IF(C53="Payment Received",I52-IFERROR(G53,0),IF(C53="Monthly Rent Charge",I52+IFERROR(E53,0)+IFERROR(F53,0),I52)))</f>
        <v/>
      </c>
      <c r="J53" s="37" t="n"/>
    </row>
    <row r="54" ht="15" customHeight="1" s="62">
      <c r="A54" s="54">
        <f>IF(B54="","",DATE(YEAR(TODAY()),MATCH(B54,{"January","February","March","April","May","June","July","August","September","October","November","December"},0),1))</f>
        <v/>
      </c>
      <c r="B54" s="33" t="inlineStr">
        <is>
          <t>August</t>
        </is>
      </c>
      <c r="C54" s="34">
        <f>IF(B54="","","Monthly Rent Charge")</f>
        <v/>
      </c>
      <c r="D54" s="34" t="n"/>
      <c r="E54" s="35">
        <f>IF(C54="Monthly Rent Charge",$D$3,"")</f>
        <v/>
      </c>
      <c r="F54" s="35">
        <f>IF(C54="Monthly Rent Charge",$F$3,"")</f>
        <v/>
      </c>
      <c r="G54" s="41" t="n"/>
      <c r="H54" s="34" t="n"/>
      <c r="I54" s="36">
        <f>IF(AND(A54="",C54=""),"",IF(C54="Payment Received",I53-IFERROR(G54,0),IF(C54="Monthly Rent Charge",I53+IFERROR(E54,0)+IFERROR(F54,0),I53)))</f>
        <v/>
      </c>
      <c r="J54" s="37" t="n"/>
    </row>
    <row r="55" ht="15" customHeight="1" s="62">
      <c r="A55" s="54" t="n">
        <v>46235</v>
      </c>
      <c r="B55" s="33" t="n"/>
      <c r="C55" s="34" t="inlineStr">
        <is>
          <t>Payment Received</t>
        </is>
      </c>
      <c r="D55" s="34" t="n"/>
      <c r="E55" s="35">
        <f>IF(C55="Monthly Rent Charge",$D$3,"")</f>
        <v/>
      </c>
      <c r="F55" s="35">
        <f>IF(C55="Monthly Rent Charge",$F$3,"")</f>
        <v/>
      </c>
      <c r="G55" s="41" t="n">
        <v>4500</v>
      </c>
      <c r="H55" s="34" t="n"/>
      <c r="I55" s="36">
        <f>IF(AND(A55="",C55=""),"",IF(C55="Payment Received",I54-IFERROR(G55,0),IF(C55="Monthly Rent Charge",I54+IFERROR(E55,0)+IFERROR(F55,0),IFERROR(I54,0))))</f>
        <v/>
      </c>
      <c r="J55" s="37" t="inlineStr">
        <is>
          <t>CASH</t>
        </is>
      </c>
    </row>
    <row r="56" ht="15" customHeight="1" s="62">
      <c r="A56" s="54">
        <f>IF(B56="","",DATE(YEAR(TODAY()),MATCH(B56,{"January","February","March","April","May","June","July","August","September","October","November","December"},0),1))</f>
        <v/>
      </c>
      <c r="B56" s="33" t="n"/>
      <c r="C56" s="34">
        <f>IF(B56="","","Monthly Rent Charge")</f>
        <v/>
      </c>
      <c r="D56" s="34" t="n"/>
      <c r="E56" s="35">
        <f>IF(C56="Monthly Rent Charge",$D$3,"")</f>
        <v/>
      </c>
      <c r="F56" s="35">
        <f>IF(C56="Monthly Rent Charge",$F$3,"")</f>
        <v/>
      </c>
      <c r="G56" s="41" t="n"/>
      <c r="H56" s="34" t="n"/>
      <c r="I56" s="36">
        <f>IF(AND(A56="",C56=""),"",IF(C56="Payment Received",I55-IFERROR(G56,0),IF(C56="Monthly Rent Charge",I55+IFERROR(E56,0)+IFERROR(F56,0),IFERROR(I55,0))))</f>
        <v/>
      </c>
      <c r="J56" s="37" t="n"/>
    </row>
    <row r="57" ht="15" customHeight="1" s="62">
      <c r="A57" s="54">
        <f>IF(B57="","",DATE(YEAR(TODAY()),MATCH(B57,{"January","February","March","April","May","June","July","August","September","October","November","December"},0),1))</f>
        <v/>
      </c>
      <c r="B57" s="33" t="n"/>
      <c r="C57" s="34">
        <f>IF(B57="","","Monthly Rent Charge")</f>
        <v/>
      </c>
      <c r="D57" s="34" t="n"/>
      <c r="E57" s="35">
        <f>IF(C57="Monthly Rent Charge",$D$3,"")</f>
        <v/>
      </c>
      <c r="F57" s="35">
        <f>IF(C57="Monthly Rent Charge",$F$3,"")</f>
        <v/>
      </c>
      <c r="G57" s="41" t="n"/>
      <c r="H57" s="34" t="n"/>
      <c r="I57" s="36">
        <f>IF(AND(A57="",C57=""),"",IF(C57="Payment Received",I56-IFERROR(G57,0),IF(C57="Monthly Rent Charge",I56+IFERROR(E57,0)+IFERROR(F57,0),IFERROR(I56,0))))</f>
        <v/>
      </c>
      <c r="J57" s="37" t="n"/>
    </row>
    <row r="58" ht="15" customHeight="1" s="62">
      <c r="A58" s="54">
        <f>IF(B58="","",DATE(YEAR(TODAY()),MATCH(B58,{"January","February","March","April","May","June","July","August","September","October","November","December"},0),1))</f>
        <v/>
      </c>
      <c r="B58" s="33" t="n"/>
      <c r="C58" s="34">
        <f>IF(B58="","","Monthly Rent Charge")</f>
        <v/>
      </c>
      <c r="D58" s="34" t="n"/>
      <c r="E58" s="35">
        <f>IF(C58="Monthly Rent Charge",$D$3,"")</f>
        <v/>
      </c>
      <c r="F58" s="35">
        <f>IF(C58="Monthly Rent Charge",$F$3,"")</f>
        <v/>
      </c>
      <c r="G58" s="41" t="n"/>
      <c r="H58" s="34" t="n"/>
      <c r="I58" s="36">
        <f>IF(AND(A58="",C58=""),"",IF(C58="Payment Received",I57-IFERROR(G58,0),IF(C58="Monthly Rent Charge",I57+IFERROR(E58,0)+IFERROR(F58,0),IFERROR(I57,0))))</f>
        <v/>
      </c>
      <c r="J58" s="37" t="n"/>
    </row>
    <row r="59" ht="15" customHeight="1" s="62">
      <c r="A59" s="54">
        <f>IF(B59="","",DATE(YEAR(TODAY()),MATCH(B59,{"January","February","March","April","May","June","July","August","September","October","November","December"},0),1))</f>
        <v/>
      </c>
      <c r="B59" s="33" t="n"/>
      <c r="C59" s="34">
        <f>IF(B59="","","Monthly Rent Charge")</f>
        <v/>
      </c>
      <c r="D59" s="34" t="n"/>
      <c r="E59" s="35">
        <f>IF(C59="Monthly Rent Charge",$D$3,"")</f>
        <v/>
      </c>
      <c r="F59" s="35">
        <f>IF(C59="Monthly Rent Charge",$F$3,"")</f>
        <v/>
      </c>
      <c r="G59" s="41" t="n"/>
      <c r="H59" s="34" t="n"/>
      <c r="I59" s="36">
        <f>IF(AND(A59="",C59=""),"",IF(C59="Payment Received",I58-IFERROR(G59,0),IF(C59="Monthly Rent Charge",I58+IFERROR(E59,0)+IFERROR(F59,0),IFERROR(I58,0))))</f>
        <v/>
      </c>
      <c r="J59" s="37" t="n"/>
    </row>
    <row r="60" ht="15" customHeight="1" s="62">
      <c r="A60" s="54">
        <f>IF(B60="","",DATE(YEAR(TODAY()),MATCH(B60,{"January","February","March","April","May","June","July","August","September","October","November","December"},0),1))</f>
        <v/>
      </c>
      <c r="B60" s="33" t="n"/>
      <c r="C60" s="34">
        <f>IF(B60="","","Monthly Rent Charge")</f>
        <v/>
      </c>
      <c r="D60" s="34" t="n"/>
      <c r="E60" s="35">
        <f>IF(C60="Monthly Rent Charge",$D$3,"")</f>
        <v/>
      </c>
      <c r="F60" s="35">
        <f>IF(C60="Monthly Rent Charge",$F$3,"")</f>
        <v/>
      </c>
      <c r="G60" s="41" t="n"/>
      <c r="H60" s="34" t="n"/>
      <c r="I60" s="36">
        <f>IF(AND(A60="",C60=""),"",IF(C60="Payment Received",I59-IFERROR(G60,0),IF(C60="Monthly Rent Charge",I59+IFERROR(E60,0)+IFERROR(F60,0),IFERROR(I59,0))))</f>
        <v/>
      </c>
      <c r="J60" s="37" t="n"/>
    </row>
    <row r="61" ht="15" customHeight="1" s="62">
      <c r="A61" s="54">
        <f>IF(B61="","",DATE(YEAR(TODAY()),MATCH(B61,{"January","February","March","April","May","June","July","August","September","October","November","December"},0),1))</f>
        <v/>
      </c>
      <c r="B61" s="33" t="n"/>
      <c r="C61" s="34">
        <f>IF(B61="","","Monthly Rent Charge")</f>
        <v/>
      </c>
      <c r="D61" s="34" t="n"/>
      <c r="E61" s="35">
        <f>IF(C61="Monthly Rent Charge",$D$3,"")</f>
        <v/>
      </c>
      <c r="F61" s="35">
        <f>IF(C61="Monthly Rent Charge",$F$3,"")</f>
        <v/>
      </c>
      <c r="G61" s="41" t="n"/>
      <c r="H61" s="34" t="n"/>
      <c r="I61" s="36">
        <f>IF(AND(A61="",C61=""),"",IF(C61="Payment Received",I60-IFERROR(G61,0),IF(C61="Monthly Rent Charge",I60+IFERROR(E61,0)+IFERROR(F61,0),IFERROR(I60,0))))</f>
        <v/>
      </c>
      <c r="J61" s="37" t="n"/>
    </row>
    <row r="62" ht="15" customHeight="1" s="62">
      <c r="A62" s="54">
        <f>IF(B62="","",DATE(YEAR(TODAY()),MATCH(B62,{"January","February","March","April","May","June","July","August","September","October","November","December"},0),1))</f>
        <v/>
      </c>
      <c r="B62" s="33" t="n"/>
      <c r="C62" s="34">
        <f>IF(B62="","","Monthly Rent Charge")</f>
        <v/>
      </c>
      <c r="D62" s="34" t="n"/>
      <c r="E62" s="35">
        <f>IF(C62="Monthly Rent Charge",$D$3,"")</f>
        <v/>
      </c>
      <c r="F62" s="35">
        <f>IF(C62="Monthly Rent Charge",$F$3,"")</f>
        <v/>
      </c>
      <c r="G62" s="41" t="n"/>
      <c r="H62" s="34" t="n"/>
      <c r="I62" s="36">
        <f>IF(AND(A62="",C62=""),"",IF(C62="Payment Received",I61-IFERROR(G62,0),IF(C62="Monthly Rent Charge",I61+IFERROR(E62,0)+IFERROR(F62,0),IFERROR(I61,0))))</f>
        <v/>
      </c>
      <c r="J62" s="37" t="n"/>
    </row>
    <row r="63" ht="15" customHeight="1" s="62">
      <c r="A63" s="54">
        <f>IF(B63="","",DATE(YEAR(TODAY()),MATCH(B63,{"January","February","March","April","May","June","July","August","September","October","November","December"},0),1))</f>
        <v/>
      </c>
      <c r="B63" s="33" t="n"/>
      <c r="C63" s="34">
        <f>IF(B63="","","Monthly Rent Charge")</f>
        <v/>
      </c>
      <c r="D63" s="34" t="n"/>
      <c r="E63" s="35">
        <f>IF(C63="Monthly Rent Charge",$D$3,"")</f>
        <v/>
      </c>
      <c r="F63" s="35">
        <f>IF(C63="Monthly Rent Charge",$F$3,"")</f>
        <v/>
      </c>
      <c r="G63" s="41" t="n"/>
      <c r="H63" s="34" t="n"/>
      <c r="I63" s="36">
        <f>IF(AND(A63="",C63=""),"",IF(C63="Payment Received",I62-IFERROR(G63,0),IF(C63="Monthly Rent Charge",I62+IFERROR(E63,0)+IFERROR(F63,0),IFERROR(I62,0))))</f>
        <v/>
      </c>
      <c r="J63" s="37" t="n"/>
    </row>
    <row r="64" ht="15" customHeight="1" s="62">
      <c r="A64" s="54">
        <f>IF(B64="","",DATE(YEAR(TODAY()),MATCH(B64,{"January","February","March","April","May","June","July","August","September","October","November","December"},0),1))</f>
        <v/>
      </c>
      <c r="B64" s="33" t="n"/>
      <c r="C64" s="34">
        <f>IF(B64="","","Monthly Rent Charge")</f>
        <v/>
      </c>
      <c r="D64" s="34" t="n"/>
      <c r="E64" s="35">
        <f>IF(C64="Monthly Rent Charge",$D$3,"")</f>
        <v/>
      </c>
      <c r="F64" s="35">
        <f>IF(C64="Monthly Rent Charge",$F$3,"")</f>
        <v/>
      </c>
      <c r="G64" s="41" t="n"/>
      <c r="H64" s="34" t="n"/>
      <c r="I64" s="36">
        <f>IF(AND(A64="",C64=""),"",IF(C64="Payment Received",I63-IFERROR(G64,0),IF(C64="Monthly Rent Charge",I63+IFERROR(E64,0)+IFERROR(F64,0),IFERROR(I63,0))))</f>
        <v/>
      </c>
      <c r="J64" s="37" t="n"/>
    </row>
    <row r="65" ht="15" customHeight="1" s="62">
      <c r="A65" s="54">
        <f>IF(B65="","",DATE(YEAR(TODAY()),MATCH(B65,{"January","February","March","April","May","June","July","August","September","October","November","December"},0),1))</f>
        <v/>
      </c>
      <c r="B65" s="33" t="n"/>
      <c r="C65" s="34">
        <f>IF(B65="","","Monthly Rent Charge")</f>
        <v/>
      </c>
      <c r="D65" s="34" t="n"/>
      <c r="E65" s="35">
        <f>IF(C65="Monthly Rent Charge",$D$3,"")</f>
        <v/>
      </c>
      <c r="F65" s="35">
        <f>IF(C65="Monthly Rent Charge",$F$3,"")</f>
        <v/>
      </c>
      <c r="G65" s="41" t="n"/>
      <c r="H65" s="34" t="n"/>
      <c r="I65" s="36">
        <f>IF(AND(A65="",C65=""),"",IF(C65="Payment Received",I64-IFERROR(G65,0),IF(C65="Monthly Rent Charge",I64+IFERROR(E65,0)+IFERROR(F65,0),IFERROR(I64,0))))</f>
        <v/>
      </c>
      <c r="J65" s="37" t="n"/>
    </row>
    <row r="66" ht="15" customHeight="1" s="62">
      <c r="A66" s="54">
        <f>IF(B66="","",DATE(YEAR(TODAY()),MATCH(B66,{"January","February","March","April","May","June","July","August","September","October","November","December"},0),1))</f>
        <v/>
      </c>
      <c r="B66" s="33" t="n"/>
      <c r="C66" s="34">
        <f>IF(B66="","","Monthly Rent Charge")</f>
        <v/>
      </c>
      <c r="D66" s="34" t="n"/>
      <c r="E66" s="35">
        <f>IF(C66="Monthly Rent Charge",$D$3,"")</f>
        <v/>
      </c>
      <c r="F66" s="35">
        <f>IF(C66="Monthly Rent Charge",$F$3,"")</f>
        <v/>
      </c>
      <c r="G66" s="41" t="n"/>
      <c r="H66" s="34" t="n"/>
      <c r="I66" s="36">
        <f>IF(AND(A66="",C66=""),"",IF(C66="Payment Received",I65-IFERROR(G66,0),IF(C66="Monthly Rent Charge",I65+IFERROR(E66,0)+IFERROR(F66,0),IFERROR(I65,0))))</f>
        <v/>
      </c>
      <c r="J66" s="37" t="n"/>
    </row>
    <row r="67" ht="15" customHeight="1" s="62">
      <c r="A67" s="54">
        <f>IF(B67="","",DATE(YEAR(TODAY()),MATCH(B67,{"January","February","March","April","May","June","July","August","September","October","November","December"},0),1))</f>
        <v/>
      </c>
      <c r="B67" s="33" t="n"/>
      <c r="C67" s="34">
        <f>IF(B67="","","Monthly Rent Charge")</f>
        <v/>
      </c>
      <c r="D67" s="34" t="n"/>
      <c r="E67" s="35">
        <f>IF(C67="Monthly Rent Charge",$D$3,"")</f>
        <v/>
      </c>
      <c r="F67" s="35">
        <f>IF(C67="Monthly Rent Charge",$F$3,"")</f>
        <v/>
      </c>
      <c r="G67" s="41" t="n"/>
      <c r="H67" s="34" t="n"/>
      <c r="I67" s="36">
        <f>IF(AND(A67="",C67=""),"",IF(C67="Payment Received",I66-IFERROR(G67,0),IF(C67="Monthly Rent Charge",I66+IFERROR(E67,0)+IFERROR(F67,0),IFERROR(I66,0))))</f>
        <v/>
      </c>
      <c r="J67" s="37" t="n"/>
    </row>
    <row r="68" ht="15" customHeight="1" s="62">
      <c r="A68" s="54">
        <f>IF(B68="","",DATE(YEAR(TODAY()),MATCH(B68,{"January","February","March","April","May","June","July","August","September","October","November","December"},0),1))</f>
        <v/>
      </c>
      <c r="B68" s="33" t="n"/>
      <c r="C68" s="34">
        <f>IF(B68="","","Monthly Rent Charge")</f>
        <v/>
      </c>
      <c r="D68" s="34" t="n"/>
      <c r="E68" s="35">
        <f>IF(C68="Monthly Rent Charge",$D$3,"")</f>
        <v/>
      </c>
      <c r="F68" s="35">
        <f>IF(C68="Monthly Rent Charge",$F$3,"")</f>
        <v/>
      </c>
      <c r="G68" s="41" t="n"/>
      <c r="H68" s="34" t="n"/>
      <c r="I68" s="36">
        <f>IF(AND(A68="",C68=""),"",IF(C68="Payment Received",I67-IFERROR(G68,0),IF(C68="Monthly Rent Charge",I67+IFERROR(E68,0)+IFERROR(F68,0),IFERROR(I67,0))))</f>
        <v/>
      </c>
      <c r="J68" s="37" t="n"/>
    </row>
    <row r="69" ht="15" customHeight="1" s="62">
      <c r="A69" s="54">
        <f>IF(B69="","",DATE(YEAR(TODAY()),MATCH(B69,{"January","February","March","April","May","June","July","August","September","October","November","December"},0),1))</f>
        <v/>
      </c>
      <c r="B69" s="33" t="n"/>
      <c r="C69" s="34">
        <f>IF(B69="","","Monthly Rent Charge")</f>
        <v/>
      </c>
      <c r="D69" s="34" t="n"/>
      <c r="E69" s="35">
        <f>IF(C69="Monthly Rent Charge",$D$3,"")</f>
        <v/>
      </c>
      <c r="F69" s="35">
        <f>IF(C69="Monthly Rent Charge",$F$3,"")</f>
        <v/>
      </c>
      <c r="G69" s="41" t="n"/>
      <c r="H69" s="34" t="n"/>
      <c r="I69" s="36">
        <f>IF(AND(A69="",C69=""),"",IF(C69="Payment Received",I68-IFERROR(G69,0),IF(C69="Monthly Rent Charge",I68+IFERROR(E69,0)+IFERROR(F69,0),IFERROR(I68,0))))</f>
        <v/>
      </c>
      <c r="J69" s="37" t="n"/>
    </row>
    <row r="70" ht="15" customHeight="1" s="62">
      <c r="A70" s="54" t="n"/>
      <c r="B70" s="33" t="n"/>
      <c r="C70" s="34" t="n"/>
      <c r="D70" s="34" t="n"/>
      <c r="E70" s="35" t="n"/>
      <c r="F70" s="35" t="n"/>
      <c r="G70" s="41" t="n"/>
      <c r="H70" s="34" t="n"/>
      <c r="I70" s="36" t="n"/>
      <c r="J70" s="37" t="n"/>
    </row>
    <row r="71" ht="15" customHeight="1" s="62">
      <c r="A71" s="54" t="n"/>
      <c r="B71" s="33" t="n"/>
      <c r="C71" s="34" t="n"/>
      <c r="D71" s="34" t="n"/>
      <c r="E71" s="35" t="n"/>
      <c r="F71" s="35" t="n"/>
      <c r="G71" s="41" t="n"/>
      <c r="H71" s="34" t="n"/>
      <c r="I71" s="36" t="n"/>
      <c r="J71" s="37" t="n"/>
    </row>
    <row r="72" ht="15" customHeight="1" s="62">
      <c r="A72" s="54" t="n"/>
      <c r="B72" s="33" t="n"/>
      <c r="C72" s="34" t="n"/>
      <c r="D72" s="34" t="n"/>
      <c r="E72" s="35" t="n"/>
      <c r="F72" s="35" t="n"/>
      <c r="G72" s="41" t="n"/>
      <c r="H72" s="34" t="n"/>
      <c r="I72" s="36" t="n"/>
      <c r="J72" s="37" t="n"/>
    </row>
    <row r="73" ht="15" customHeight="1" s="62">
      <c r="A73" s="54" t="n"/>
      <c r="B73" s="33" t="n"/>
      <c r="C73" s="34" t="n"/>
      <c r="D73" s="34" t="n"/>
      <c r="E73" s="35" t="n"/>
      <c r="F73" s="35" t="n"/>
      <c r="G73" s="41" t="n"/>
      <c r="H73" s="34" t="n"/>
      <c r="I73" s="36" t="n"/>
      <c r="J73" s="37" t="n"/>
    </row>
    <row r="74" ht="15" customHeight="1" s="62">
      <c r="A74" s="54" t="n"/>
      <c r="B74" s="33" t="n"/>
      <c r="C74" s="34" t="n"/>
      <c r="D74" s="34" t="n"/>
      <c r="E74" s="35" t="n"/>
      <c r="F74" s="35" t="n"/>
      <c r="G74" s="41" t="n"/>
      <c r="H74" s="34" t="n"/>
      <c r="I74" s="36" t="n"/>
      <c r="J74" s="37" t="n"/>
    </row>
    <row r="75" ht="15" customHeight="1" s="62">
      <c r="A75" s="54" t="n"/>
      <c r="B75" s="33" t="n"/>
      <c r="C75" s="34" t="n"/>
      <c r="D75" s="34" t="n"/>
      <c r="E75" s="35" t="n"/>
      <c r="F75" s="35" t="n"/>
      <c r="G75" s="41" t="n"/>
      <c r="H75" s="34" t="n"/>
      <c r="I75" s="36" t="n"/>
      <c r="J75" s="37" t="n"/>
    </row>
    <row r="76" ht="15" customHeight="1" s="62">
      <c r="A76" s="54" t="n"/>
      <c r="B76" s="33" t="n"/>
      <c r="C76" s="34" t="n"/>
      <c r="D76" s="34" t="n"/>
      <c r="E76" s="35" t="n"/>
      <c r="F76" s="35" t="n"/>
      <c r="G76" s="41" t="n"/>
      <c r="H76" s="34" t="n"/>
      <c r="I76" s="36" t="n"/>
      <c r="J76" s="37" t="n"/>
    </row>
    <row r="77" ht="15" customHeight="1" s="62">
      <c r="A77" s="54" t="n"/>
      <c r="B77" s="33" t="n"/>
      <c r="C77" s="34" t="n"/>
      <c r="D77" s="34" t="n"/>
      <c r="E77" s="35" t="n"/>
      <c r="F77" s="35" t="n"/>
      <c r="G77" s="41" t="n"/>
      <c r="H77" s="34" t="n"/>
      <c r="I77" s="36" t="n"/>
      <c r="J77" s="37" t="n"/>
    </row>
    <row r="78" ht="15" customHeight="1" s="62">
      <c r="A78" s="54" t="n"/>
      <c r="B78" s="33" t="n"/>
      <c r="C78" s="34" t="n"/>
      <c r="D78" s="34" t="n"/>
      <c r="E78" s="35" t="n"/>
      <c r="F78" s="35" t="n"/>
      <c r="G78" s="41" t="n"/>
      <c r="H78" s="34" t="n"/>
      <c r="I78" s="36" t="n"/>
      <c r="J78" s="37" t="n"/>
    </row>
    <row r="79" ht="15" customHeight="1" s="62">
      <c r="A79" s="54" t="n"/>
      <c r="B79" s="33" t="n"/>
      <c r="C79" s="34" t="n"/>
      <c r="D79" s="34" t="n"/>
      <c r="E79" s="35" t="n"/>
      <c r="F79" s="35" t="n"/>
      <c r="G79" s="41" t="n"/>
      <c r="H79" s="34" t="n"/>
      <c r="I79" s="36" t="n"/>
      <c r="J79" s="37" t="n"/>
    </row>
    <row r="80" ht="15" customHeight="1" s="62">
      <c r="A80" s="54" t="n"/>
      <c r="B80" s="33" t="n"/>
      <c r="C80" s="34" t="n"/>
      <c r="D80" s="34" t="n"/>
      <c r="E80" s="35" t="n"/>
      <c r="F80" s="35" t="n"/>
      <c r="G80" s="41" t="n"/>
      <c r="H80" s="34" t="n"/>
      <c r="I80" s="36" t="n"/>
      <c r="J80" s="37" t="n"/>
    </row>
    <row r="81" ht="15" customHeight="1" s="62">
      <c r="A81" s="54" t="n"/>
      <c r="B81" s="33" t="n"/>
      <c r="C81" s="34" t="n"/>
      <c r="D81" s="34" t="n"/>
      <c r="E81" s="35" t="n"/>
      <c r="F81" s="35" t="n"/>
      <c r="G81" s="41" t="n"/>
      <c r="H81" s="34" t="n"/>
      <c r="I81" s="36" t="n"/>
      <c r="J81" s="37" t="n"/>
    </row>
    <row r="82" ht="15" customHeight="1" s="62">
      <c r="A82" s="54" t="n"/>
      <c r="B82" s="33" t="n"/>
      <c r="C82" s="34" t="n"/>
      <c r="D82" s="34" t="n"/>
      <c r="E82" s="35" t="n"/>
      <c r="F82" s="35" t="n"/>
      <c r="G82" s="41" t="n"/>
      <c r="H82" s="34" t="n"/>
      <c r="I82" s="36" t="n"/>
      <c r="J82" s="37" t="n"/>
    </row>
    <row r="83" ht="15" customHeight="1" s="62">
      <c r="A83" s="54" t="n"/>
      <c r="B83" s="33" t="n"/>
      <c r="C83" s="34" t="n"/>
      <c r="D83" s="34" t="n"/>
      <c r="E83" s="35" t="n"/>
      <c r="F83" s="35" t="n"/>
      <c r="G83" s="41" t="n"/>
      <c r="H83" s="34" t="n"/>
      <c r="I83" s="36" t="n"/>
      <c r="J83" s="37" t="n"/>
    </row>
    <row r="84" ht="15" customHeight="1" s="62">
      <c r="A84" s="54" t="n"/>
      <c r="B84" s="33" t="n"/>
      <c r="C84" s="34" t="n"/>
      <c r="D84" s="34" t="n"/>
      <c r="E84" s="35" t="n"/>
      <c r="F84" s="35" t="n"/>
      <c r="G84" s="41" t="n"/>
      <c r="H84" s="34" t="n"/>
      <c r="I84" s="36" t="n"/>
      <c r="J84" s="37" t="n"/>
    </row>
    <row r="85" ht="15" customHeight="1" s="62">
      <c r="A85" s="54" t="n"/>
      <c r="B85" s="33" t="n"/>
      <c r="C85" s="34" t="n"/>
      <c r="D85" s="34" t="n"/>
      <c r="E85" s="35" t="n"/>
      <c r="F85" s="35" t="n"/>
      <c r="G85" s="41" t="n"/>
      <c r="H85" s="34" t="n"/>
      <c r="I85" s="36" t="n"/>
      <c r="J85" s="37" t="n"/>
    </row>
    <row r="86" ht="15" customHeight="1" s="62">
      <c r="A86" s="54" t="n"/>
      <c r="B86" s="33" t="n"/>
      <c r="C86" s="34" t="n"/>
      <c r="D86" s="34" t="n"/>
      <c r="E86" s="35" t="n"/>
      <c r="F86" s="35" t="n"/>
      <c r="G86" s="41" t="n"/>
      <c r="H86" s="34" t="n"/>
      <c r="I86" s="36" t="n"/>
      <c r="J86" s="37" t="n"/>
    </row>
    <row r="87" ht="15" customHeight="1" s="62">
      <c r="A87" s="54" t="n"/>
      <c r="B87" s="33" t="n"/>
      <c r="C87" s="34" t="n"/>
      <c r="D87" s="34" t="n"/>
      <c r="E87" s="35" t="n"/>
      <c r="F87" s="35" t="n"/>
      <c r="G87" s="41" t="n"/>
      <c r="H87" s="34" t="n"/>
      <c r="I87" s="36" t="n"/>
      <c r="J87" s="37" t="n"/>
    </row>
    <row r="88" ht="15" customHeight="1" s="62">
      <c r="A88" s="54" t="n"/>
      <c r="B88" s="33" t="n"/>
      <c r="C88" s="34" t="n"/>
      <c r="D88" s="34" t="n"/>
      <c r="E88" s="35" t="n"/>
      <c r="F88" s="35" t="n"/>
      <c r="G88" s="41" t="n"/>
      <c r="H88" s="34" t="n"/>
      <c r="I88" s="36" t="n"/>
      <c r="J88" s="37" t="n"/>
    </row>
    <row r="89" ht="15" customHeight="1" s="62">
      <c r="A89" s="54" t="n"/>
      <c r="B89" s="33" t="n"/>
      <c r="C89" s="34" t="n"/>
      <c r="D89" s="34" t="n"/>
      <c r="E89" s="35" t="n"/>
      <c r="F89" s="35" t="n"/>
      <c r="G89" s="41" t="n"/>
      <c r="H89" s="34" t="n"/>
      <c r="I89" s="36" t="n"/>
      <c r="J89" s="37" t="n"/>
    </row>
    <row r="90" ht="15" customHeight="1" s="62">
      <c r="A90" s="54" t="n"/>
      <c r="B90" s="33" t="n"/>
      <c r="C90" s="34" t="n"/>
      <c r="D90" s="34" t="n"/>
      <c r="E90" s="35" t="n"/>
      <c r="F90" s="35" t="n"/>
      <c r="G90" s="41" t="n"/>
      <c r="H90" s="34" t="n"/>
      <c r="I90" s="36" t="n"/>
      <c r="J90" s="37" t="n"/>
    </row>
    <row r="91" ht="15" customHeight="1" s="62">
      <c r="A91" s="54" t="n"/>
      <c r="B91" s="33" t="n"/>
      <c r="C91" s="34" t="n"/>
      <c r="D91" s="34" t="n"/>
      <c r="E91" s="35" t="n"/>
      <c r="F91" s="35" t="n"/>
      <c r="G91" s="41" t="n"/>
      <c r="H91" s="34" t="n"/>
      <c r="I91" s="36" t="n"/>
      <c r="J91" s="37" t="n"/>
    </row>
    <row r="92" ht="15" customHeight="1" s="62">
      <c r="A92" s="54" t="n"/>
      <c r="B92" s="33" t="n"/>
      <c r="C92" s="34" t="n"/>
      <c r="D92" s="34" t="n"/>
      <c r="E92" s="35" t="n"/>
      <c r="F92" s="35" t="n"/>
      <c r="G92" s="41" t="n"/>
      <c r="H92" s="34" t="n"/>
      <c r="I92" s="36" t="n"/>
      <c r="J92" s="37" t="n"/>
    </row>
    <row r="93" ht="15" customHeight="1" s="62">
      <c r="A93" s="54" t="n"/>
      <c r="B93" s="33" t="n"/>
      <c r="C93" s="34" t="n"/>
      <c r="D93" s="34" t="n"/>
      <c r="E93" s="35" t="n"/>
      <c r="F93" s="35" t="n"/>
      <c r="G93" s="41" t="n"/>
      <c r="H93" s="34" t="n"/>
      <c r="I93" s="36" t="n"/>
      <c r="J93" s="37" t="n"/>
    </row>
    <row r="94" ht="15" customHeight="1" s="62">
      <c r="A94" s="54" t="n"/>
      <c r="B94" s="33" t="n"/>
      <c r="C94" s="34" t="n"/>
      <c r="D94" s="34" t="n"/>
      <c r="E94" s="35" t="n"/>
      <c r="F94" s="35" t="n"/>
      <c r="G94" s="41" t="n"/>
      <c r="H94" s="34" t="n"/>
      <c r="I94" s="36" t="n"/>
      <c r="J94" s="37" t="n"/>
    </row>
    <row r="95" ht="15" customHeight="1" s="62">
      <c r="A95" s="54" t="n"/>
      <c r="B95" s="33" t="n"/>
      <c r="C95" s="34" t="n"/>
      <c r="D95" s="34" t="n"/>
      <c r="E95" s="35" t="n"/>
      <c r="F95" s="35" t="n"/>
      <c r="G95" s="41" t="n"/>
      <c r="H95" s="34" t="n"/>
      <c r="I95" s="36" t="n"/>
      <c r="J95" s="37" t="n"/>
    </row>
    <row r="96" ht="15" customHeight="1" s="62">
      <c r="A96" s="54" t="n"/>
      <c r="B96" s="33" t="n"/>
      <c r="C96" s="34" t="n"/>
      <c r="D96" s="34" t="n"/>
      <c r="E96" s="35" t="n"/>
      <c r="F96" s="35" t="n"/>
      <c r="G96" s="41" t="n"/>
      <c r="H96" s="34" t="n"/>
      <c r="I96" s="36" t="n"/>
      <c r="J96" s="37" t="n"/>
    </row>
    <row r="97" ht="15" customHeight="1" s="62">
      <c r="A97" s="54" t="n"/>
      <c r="B97" s="33" t="n"/>
      <c r="C97" s="34" t="n"/>
      <c r="D97" s="34" t="n"/>
      <c r="E97" s="35" t="n"/>
      <c r="F97" s="35" t="n"/>
      <c r="G97" s="41" t="n"/>
      <c r="H97" s="34" t="n"/>
      <c r="I97" s="36" t="n"/>
      <c r="J97" s="37" t="n"/>
    </row>
    <row r="98" ht="15" customHeight="1" s="62">
      <c r="A98" s="54" t="n"/>
      <c r="B98" s="33" t="n"/>
      <c r="C98" s="34" t="n"/>
      <c r="D98" s="34" t="n"/>
      <c r="E98" s="35" t="n"/>
      <c r="F98" s="35" t="n"/>
      <c r="G98" s="41" t="n"/>
      <c r="H98" s="34" t="n"/>
      <c r="I98" s="36" t="n"/>
      <c r="J98" s="37" t="n"/>
    </row>
    <row r="99" ht="15" customHeight="1" s="62">
      <c r="A99" s="54" t="n"/>
      <c r="B99" s="33" t="n"/>
      <c r="C99" s="34" t="n"/>
      <c r="D99" s="34" t="n"/>
      <c r="E99" s="35" t="n"/>
      <c r="F99" s="35" t="n"/>
      <c r="G99" s="41" t="n"/>
      <c r="H99" s="34" t="n"/>
      <c r="I99" s="36" t="n"/>
      <c r="J99" s="37" t="n"/>
    </row>
    <row r="100" ht="15" customHeight="1" s="62">
      <c r="A100" s="54" t="n"/>
      <c r="B100" s="33" t="n"/>
      <c r="C100" s="34" t="n"/>
      <c r="D100" s="34" t="n"/>
      <c r="E100" s="35" t="n"/>
      <c r="F100" s="35" t="n"/>
      <c r="G100" s="41" t="n"/>
      <c r="H100" s="34" t="n"/>
      <c r="I100" s="36" t="n"/>
      <c r="J100" s="37" t="n"/>
    </row>
    <row r="101" ht="15" customHeight="1" s="62">
      <c r="A101" s="54" t="n"/>
      <c r="B101" s="33" t="n"/>
      <c r="C101" s="34" t="n"/>
      <c r="D101" s="34" t="n"/>
      <c r="E101" s="35" t="n"/>
      <c r="F101" s="35" t="n"/>
      <c r="G101" s="41" t="n"/>
      <c r="H101" s="34" t="n"/>
      <c r="I101" s="36" t="n"/>
      <c r="J101" s="37" t="n"/>
    </row>
    <row r="102" ht="15" customHeight="1" s="62">
      <c r="A102" s="54" t="n"/>
      <c r="B102" s="33" t="n"/>
      <c r="C102" s="34" t="n"/>
      <c r="D102" s="34" t="n"/>
      <c r="E102" s="35" t="n"/>
      <c r="F102" s="35" t="n"/>
      <c r="G102" s="41" t="n"/>
      <c r="H102" s="34" t="n"/>
      <c r="I102" s="36" t="n"/>
      <c r="J102" s="37" t="n"/>
    </row>
    <row r="103" ht="15" customHeight="1" s="62">
      <c r="A103" s="54" t="n"/>
      <c r="B103" s="33" t="n"/>
      <c r="C103" s="34" t="n"/>
      <c r="D103" s="34" t="n"/>
      <c r="E103" s="35" t="n"/>
      <c r="F103" s="35" t="n"/>
      <c r="G103" s="41" t="n"/>
      <c r="H103" s="34" t="n"/>
      <c r="I103" s="36" t="n"/>
      <c r="J103" s="37" t="n"/>
    </row>
    <row r="104" ht="15" customHeight="1" s="62">
      <c r="A104" s="54" t="n"/>
      <c r="B104" s="33" t="n"/>
      <c r="C104" s="34" t="n"/>
      <c r="D104" s="34" t="n"/>
      <c r="E104" s="35" t="n"/>
      <c r="F104" s="35" t="n"/>
      <c r="G104" s="41" t="n"/>
      <c r="H104" s="34" t="n"/>
      <c r="I104" s="36" t="n"/>
      <c r="J104" s="37" t="n"/>
    </row>
    <row r="105" ht="15" customHeight="1" s="62">
      <c r="A105" s="54" t="n"/>
      <c r="B105" s="33" t="n"/>
      <c r="C105" s="34" t="n"/>
      <c r="D105" s="34" t="n"/>
      <c r="E105" s="35" t="n"/>
      <c r="F105" s="35" t="n"/>
      <c r="G105" s="41" t="n"/>
      <c r="H105" s="34" t="n"/>
      <c r="I105" s="36" t="n"/>
      <c r="J105" s="37" t="n"/>
    </row>
    <row r="106" ht="15" customHeight="1" s="62">
      <c r="A106" s="54" t="n"/>
      <c r="B106" s="33" t="n"/>
      <c r="C106" s="34" t="n"/>
      <c r="D106" s="34" t="n"/>
      <c r="E106" s="35" t="n"/>
      <c r="F106" s="35" t="n"/>
      <c r="G106" s="41" t="n"/>
      <c r="H106" s="34" t="n"/>
      <c r="I106" s="36" t="n"/>
      <c r="J106" s="37" t="n"/>
    </row>
    <row r="107" ht="15" customHeight="1" s="62">
      <c r="A107" s="54" t="n"/>
      <c r="B107" s="33" t="n"/>
      <c r="C107" s="34" t="n"/>
      <c r="D107" s="34" t="n"/>
      <c r="E107" s="35" t="n"/>
      <c r="F107" s="35" t="n"/>
      <c r="G107" s="41" t="n"/>
      <c r="H107" s="34" t="n"/>
      <c r="I107" s="36" t="n"/>
      <c r="J107" s="37" t="n"/>
    </row>
    <row r="108" ht="15" customHeight="1" s="62">
      <c r="A108" s="54" t="n"/>
      <c r="B108" s="33" t="n"/>
      <c r="C108" s="34" t="n"/>
      <c r="D108" s="34" t="n"/>
      <c r="E108" s="35" t="n"/>
      <c r="F108" s="35" t="n"/>
      <c r="G108" s="41" t="n"/>
      <c r="H108" s="34" t="n"/>
      <c r="I108" s="36" t="n"/>
      <c r="J108" s="37" t="n"/>
    </row>
    <row r="109" ht="15" customHeight="1" s="62">
      <c r="A109" s="54" t="n"/>
      <c r="B109" s="33" t="n"/>
      <c r="C109" s="34" t="n"/>
      <c r="D109" s="34" t="n"/>
      <c r="E109" s="35" t="n"/>
      <c r="F109" s="35" t="n"/>
      <c r="G109" s="41" t="n"/>
      <c r="H109" s="34" t="n"/>
      <c r="I109" s="36" t="n"/>
      <c r="J109" s="37" t="n"/>
    </row>
    <row r="110" ht="15" customHeight="1" s="62">
      <c r="A110" s="54" t="n"/>
      <c r="B110" s="33" t="n"/>
      <c r="C110" s="34" t="n"/>
      <c r="D110" s="34" t="n"/>
      <c r="E110" s="35" t="n"/>
      <c r="F110" s="35" t="n"/>
      <c r="G110" s="41" t="n"/>
      <c r="H110" s="34" t="n"/>
      <c r="I110" s="36" t="n"/>
      <c r="J110" s="37" t="n"/>
    </row>
    <row r="111" ht="15" customHeight="1" s="62">
      <c r="A111" s="54" t="n"/>
      <c r="B111" s="33" t="n"/>
      <c r="C111" s="34" t="n"/>
      <c r="D111" s="34" t="n"/>
      <c r="E111" s="35" t="n"/>
      <c r="F111" s="35" t="n"/>
      <c r="G111" s="41" t="n"/>
      <c r="H111" s="34" t="n"/>
      <c r="I111" s="36" t="n"/>
      <c r="J111" s="37" t="n"/>
    </row>
    <row r="112" ht="15" customHeight="1" s="62">
      <c r="A112" s="54" t="n"/>
      <c r="B112" s="33" t="n"/>
      <c r="C112" s="34" t="n"/>
      <c r="D112" s="34" t="n"/>
      <c r="E112" s="35" t="n"/>
      <c r="F112" s="35" t="n"/>
      <c r="G112" s="41" t="n"/>
      <c r="H112" s="34" t="n"/>
      <c r="I112" s="36" t="n"/>
      <c r="J112" s="37" t="n"/>
    </row>
    <row r="113" ht="15" customHeight="1" s="62">
      <c r="A113" s="54" t="n"/>
      <c r="B113" s="33" t="n"/>
      <c r="C113" s="34" t="n"/>
      <c r="D113" s="34" t="n"/>
      <c r="E113" s="35" t="n"/>
      <c r="F113" s="35" t="n"/>
      <c r="G113" s="41" t="n"/>
      <c r="H113" s="34" t="n"/>
      <c r="I113" s="36" t="n"/>
      <c r="J113" s="37" t="n"/>
    </row>
    <row r="114" ht="15" customHeight="1" s="62">
      <c r="A114" s="54" t="n"/>
      <c r="B114" s="33" t="n"/>
      <c r="C114" s="34" t="n"/>
      <c r="D114" s="34" t="n"/>
      <c r="E114" s="35" t="n"/>
      <c r="F114" s="35" t="n"/>
      <c r="G114" s="41" t="n"/>
      <c r="H114" s="34" t="n"/>
      <c r="I114" s="36" t="n"/>
      <c r="J114" s="37" t="n"/>
    </row>
    <row r="115" ht="15" customHeight="1" s="62">
      <c r="A115" s="54" t="n"/>
      <c r="B115" s="33" t="n"/>
      <c r="C115" s="34" t="n"/>
      <c r="D115" s="34" t="n"/>
      <c r="E115" s="35" t="n"/>
      <c r="F115" s="35" t="n"/>
      <c r="G115" s="41" t="n"/>
      <c r="H115" s="34" t="n"/>
      <c r="I115" s="36" t="n"/>
      <c r="J115" s="37" t="n"/>
    </row>
    <row r="116" ht="15" customHeight="1" s="62">
      <c r="A116" s="54" t="n"/>
      <c r="B116" s="33" t="n"/>
      <c r="C116" s="34" t="n"/>
      <c r="D116" s="34" t="n"/>
      <c r="E116" s="35" t="n"/>
      <c r="F116" s="35" t="n"/>
      <c r="G116" s="41" t="n"/>
      <c r="H116" s="34" t="n"/>
      <c r="I116" s="36" t="n"/>
      <c r="J116" s="37" t="n"/>
    </row>
    <row r="117" ht="15" customHeight="1" s="62">
      <c r="A117" s="54" t="n"/>
      <c r="B117" s="33" t="n"/>
      <c r="C117" s="34" t="n"/>
      <c r="D117" s="34" t="n"/>
      <c r="E117" s="35" t="n"/>
      <c r="F117" s="35" t="n"/>
      <c r="G117" s="41" t="n"/>
      <c r="H117" s="34" t="n"/>
      <c r="I117" s="36" t="n"/>
      <c r="J117" s="37" t="n"/>
    </row>
    <row r="118" ht="15" customHeight="1" s="62">
      <c r="A118" s="54" t="n"/>
      <c r="B118" s="33" t="n"/>
      <c r="C118" s="34" t="n"/>
      <c r="D118" s="34" t="n"/>
      <c r="E118" s="35" t="n"/>
      <c r="F118" s="35" t="n"/>
      <c r="G118" s="41" t="n"/>
      <c r="H118" s="34" t="n"/>
      <c r="I118" s="36" t="n"/>
      <c r="J118" s="37" t="n"/>
    </row>
    <row r="119" ht="15" customHeight="1" s="62">
      <c r="A119" s="54" t="n"/>
      <c r="B119" s="33" t="n"/>
      <c r="C119" s="34" t="n"/>
      <c r="D119" s="34" t="n"/>
      <c r="E119" s="35" t="n"/>
      <c r="F119" s="35" t="n"/>
      <c r="G119" s="41" t="n"/>
      <c r="H119" s="34" t="n"/>
      <c r="I119" s="36" t="n"/>
      <c r="J119" s="37" t="n"/>
    </row>
    <row r="120" ht="15" customHeight="1" s="62">
      <c r="A120" s="54" t="n"/>
      <c r="B120" s="33" t="n"/>
      <c r="C120" s="34" t="n"/>
      <c r="D120" s="34" t="n"/>
      <c r="E120" s="35" t="n"/>
      <c r="F120" s="35" t="n"/>
      <c r="G120" s="41" t="n"/>
      <c r="H120" s="34" t="n"/>
      <c r="I120" s="36" t="n"/>
      <c r="J120" s="37" t="n"/>
    </row>
    <row r="121" ht="15" customHeight="1" s="62">
      <c r="A121" s="54" t="n"/>
      <c r="B121" s="33" t="n"/>
      <c r="C121" s="34" t="n"/>
      <c r="D121" s="34" t="n"/>
      <c r="E121" s="35" t="n"/>
      <c r="F121" s="35" t="n"/>
      <c r="G121" s="41" t="n"/>
      <c r="H121" s="34" t="n"/>
      <c r="I121" s="36" t="n"/>
      <c r="J121" s="37" t="n"/>
    </row>
    <row r="122" ht="15" customHeight="1" s="62">
      <c r="A122" s="54" t="n"/>
      <c r="B122" s="33" t="n"/>
      <c r="C122" s="34" t="n"/>
      <c r="D122" s="34" t="n"/>
      <c r="E122" s="35" t="n"/>
      <c r="F122" s="35" t="n"/>
      <c r="G122" s="41" t="n"/>
      <c r="H122" s="34" t="n"/>
      <c r="I122" s="36" t="n"/>
      <c r="J122" s="37" t="n"/>
    </row>
    <row r="123" ht="15" customHeight="1" s="62">
      <c r="A123" s="54" t="n"/>
      <c r="B123" s="33" t="n"/>
      <c r="C123" s="34" t="n"/>
      <c r="D123" s="34" t="n"/>
      <c r="E123" s="35" t="n"/>
      <c r="F123" s="35" t="n"/>
      <c r="G123" s="41" t="n"/>
      <c r="H123" s="34" t="n"/>
      <c r="I123" s="36" t="n"/>
      <c r="J123" s="37" t="n"/>
    </row>
    <row r="124" ht="15" customHeight="1" s="62">
      <c r="A124" s="54" t="n"/>
      <c r="B124" s="33" t="n"/>
      <c r="C124" s="34" t="n"/>
      <c r="D124" s="34" t="n"/>
      <c r="E124" s="35" t="n"/>
      <c r="F124" s="35" t="n"/>
      <c r="G124" s="41" t="n"/>
      <c r="H124" s="34" t="n"/>
      <c r="I124" s="36" t="n"/>
      <c r="J124" s="37" t="n"/>
    </row>
    <row r="125" ht="15" customHeight="1" s="62">
      <c r="A125" s="54" t="n"/>
      <c r="B125" s="33" t="n"/>
      <c r="C125" s="34" t="n"/>
      <c r="D125" s="34" t="n"/>
      <c r="E125" s="35" t="n"/>
      <c r="F125" s="35" t="n"/>
      <c r="G125" s="41" t="n"/>
      <c r="H125" s="34" t="n"/>
      <c r="I125" s="36" t="n"/>
      <c r="J125" s="37" t="n"/>
    </row>
    <row r="126" ht="15" customHeight="1" s="62">
      <c r="A126" s="54" t="n"/>
      <c r="B126" s="33" t="n"/>
      <c r="C126" s="34" t="n"/>
      <c r="D126" s="34" t="n"/>
      <c r="E126" s="35" t="n"/>
      <c r="F126" s="35" t="n"/>
      <c r="G126" s="41" t="n"/>
      <c r="H126" s="34" t="n"/>
      <c r="I126" s="36" t="n"/>
      <c r="J126" s="37" t="n"/>
    </row>
    <row r="127" ht="15" customHeight="1" s="62">
      <c r="A127" s="54" t="n"/>
      <c r="B127" s="33" t="n"/>
      <c r="C127" s="34" t="n"/>
      <c r="D127" s="34" t="n"/>
      <c r="E127" s="35" t="n"/>
      <c r="F127" s="35" t="n"/>
      <c r="G127" s="41" t="n"/>
      <c r="H127" s="34" t="n"/>
      <c r="I127" s="36" t="n"/>
      <c r="J127" s="37" t="n"/>
    </row>
    <row r="128" ht="15" customHeight="1" s="62">
      <c r="A128" s="54" t="n"/>
      <c r="B128" s="33" t="n"/>
      <c r="C128" s="34" t="n"/>
      <c r="D128" s="34" t="n"/>
      <c r="E128" s="35" t="n"/>
      <c r="F128" s="35" t="n"/>
      <c r="G128" s="41" t="n"/>
      <c r="H128" s="34" t="n"/>
      <c r="I128" s="36" t="n"/>
      <c r="J128" s="37" t="n"/>
    </row>
    <row r="129" ht="15" customHeight="1" s="62">
      <c r="A129" s="54" t="n"/>
      <c r="B129" s="33" t="n"/>
      <c r="C129" s="34" t="n"/>
      <c r="D129" s="34" t="n"/>
      <c r="E129" s="35" t="n"/>
      <c r="F129" s="35" t="n"/>
      <c r="G129" s="41" t="n"/>
      <c r="H129" s="34" t="n"/>
      <c r="I129" s="36" t="n"/>
      <c r="J129" s="37" t="n"/>
    </row>
    <row r="130" ht="15" customHeight="1" s="62">
      <c r="A130" s="54" t="n"/>
      <c r="B130" s="33" t="n"/>
      <c r="C130" s="34" t="n"/>
      <c r="D130" s="34" t="n"/>
      <c r="E130" s="35" t="n"/>
      <c r="F130" s="35" t="n"/>
      <c r="G130" s="41" t="n"/>
      <c r="H130" s="34" t="n"/>
      <c r="I130" s="36" t="n"/>
      <c r="J130" s="37" t="n"/>
    </row>
    <row r="131" ht="15" customHeight="1" s="62">
      <c r="A131" s="54" t="n"/>
      <c r="B131" s="33" t="n"/>
      <c r="C131" s="34" t="n"/>
      <c r="D131" s="34" t="n"/>
      <c r="E131" s="35" t="n"/>
      <c r="F131" s="35" t="n"/>
      <c r="G131" s="41" t="n"/>
      <c r="H131" s="34" t="n"/>
      <c r="I131" s="36" t="n"/>
      <c r="J131" s="37" t="n"/>
    </row>
    <row r="132" ht="15" customHeight="1" s="62">
      <c r="A132" s="54" t="n"/>
      <c r="B132" s="33" t="n"/>
      <c r="C132" s="34" t="n"/>
      <c r="D132" s="34" t="n"/>
      <c r="E132" s="35" t="n"/>
      <c r="F132" s="35" t="n"/>
      <c r="G132" s="41" t="n"/>
      <c r="H132" s="34" t="n"/>
      <c r="I132" s="36" t="n"/>
      <c r="J132" s="37" t="n"/>
    </row>
    <row r="133" ht="15" customHeight="1" s="62">
      <c r="A133" s="54" t="n"/>
      <c r="B133" s="33" t="n"/>
      <c r="C133" s="34" t="n"/>
      <c r="D133" s="34" t="n"/>
      <c r="E133" s="35" t="n"/>
      <c r="F133" s="35" t="n"/>
      <c r="G133" s="41" t="n"/>
      <c r="H133" s="34" t="n"/>
      <c r="I133" s="36" t="n"/>
      <c r="J133" s="37" t="n"/>
    </row>
    <row r="134" ht="15" customHeight="1" s="62">
      <c r="A134" s="54" t="n"/>
      <c r="B134" s="33" t="n"/>
      <c r="C134" s="34" t="n"/>
      <c r="D134" s="34" t="n"/>
      <c r="E134" s="35" t="n"/>
      <c r="F134" s="35" t="n"/>
      <c r="G134" s="41" t="n"/>
      <c r="H134" s="34" t="n"/>
      <c r="I134" s="36" t="n"/>
      <c r="J134" s="37" t="n"/>
    </row>
    <row r="135" ht="15" customHeight="1" s="62">
      <c r="A135" s="54" t="n"/>
      <c r="B135" s="33" t="n"/>
      <c r="C135" s="34" t="n"/>
      <c r="D135" s="34" t="n"/>
      <c r="E135" s="35" t="n"/>
      <c r="F135" s="35" t="n"/>
      <c r="G135" s="41" t="n"/>
      <c r="H135" s="34" t="n"/>
      <c r="I135" s="36" t="n"/>
      <c r="J135" s="37" t="n"/>
    </row>
    <row r="136" ht="15" customHeight="1" s="62">
      <c r="A136" s="54" t="n"/>
      <c r="B136" s="33" t="n"/>
      <c r="C136" s="34" t="n"/>
      <c r="D136" s="34" t="n"/>
      <c r="E136" s="35" t="n"/>
      <c r="F136" s="35" t="n"/>
      <c r="G136" s="41" t="n"/>
      <c r="H136" s="34" t="n"/>
      <c r="I136" s="36" t="n"/>
      <c r="J136" s="37" t="n"/>
    </row>
    <row r="137" ht="15" customHeight="1" s="62">
      <c r="A137" s="54" t="n"/>
      <c r="B137" s="33" t="n"/>
      <c r="C137" s="34" t="n"/>
      <c r="D137" s="34" t="n"/>
      <c r="E137" s="35" t="n"/>
      <c r="F137" s="35" t="n"/>
      <c r="G137" s="41" t="n"/>
      <c r="H137" s="34" t="n"/>
      <c r="I137" s="36" t="n"/>
      <c r="J137" s="37" t="n"/>
    </row>
    <row r="138" ht="15" customHeight="1" s="62">
      <c r="A138" s="54" t="n"/>
      <c r="B138" s="33" t="n"/>
      <c r="C138" s="34" t="n"/>
      <c r="D138" s="34" t="n"/>
      <c r="E138" s="35" t="n"/>
      <c r="F138" s="35" t="n"/>
      <c r="G138" s="41" t="n"/>
      <c r="H138" s="34" t="n"/>
      <c r="I138" s="36" t="n"/>
      <c r="J138" s="37" t="n"/>
    </row>
    <row r="139" ht="15" customHeight="1" s="62">
      <c r="A139" s="54" t="n"/>
      <c r="B139" s="33" t="n"/>
      <c r="C139" s="34" t="n"/>
      <c r="D139" s="34" t="n"/>
      <c r="E139" s="35" t="n"/>
      <c r="F139" s="35" t="n"/>
      <c r="G139" s="41" t="n"/>
      <c r="H139" s="34" t="n"/>
      <c r="I139" s="36" t="n"/>
      <c r="J139" s="37" t="n"/>
    </row>
    <row r="140" ht="15" customHeight="1" s="62">
      <c r="A140" s="54" t="n"/>
      <c r="B140" s="33" t="n"/>
      <c r="C140" s="34" t="n"/>
      <c r="D140" s="34" t="n"/>
      <c r="E140" s="35" t="n"/>
      <c r="F140" s="35" t="n"/>
      <c r="G140" s="41" t="n"/>
      <c r="H140" s="34" t="n"/>
      <c r="I140" s="36" t="n"/>
      <c r="J140" s="37" t="n"/>
    </row>
    <row r="141" ht="15" customHeight="1" s="62">
      <c r="A141" s="54" t="n"/>
      <c r="B141" s="33" t="n"/>
      <c r="C141" s="34" t="n"/>
      <c r="D141" s="34" t="n"/>
      <c r="E141" s="35" t="n"/>
      <c r="F141" s="35" t="n"/>
      <c r="G141" s="41" t="n"/>
      <c r="H141" s="34" t="n"/>
      <c r="I141" s="36" t="n"/>
      <c r="J141" s="37" t="n"/>
    </row>
    <row r="142" ht="15" customHeight="1" s="62">
      <c r="A142" s="54" t="n"/>
      <c r="B142" s="33" t="n"/>
      <c r="C142" s="34" t="n"/>
      <c r="D142" s="34" t="n"/>
      <c r="E142" s="35" t="n"/>
      <c r="F142" s="35" t="n"/>
      <c r="G142" s="41" t="n"/>
      <c r="H142" s="34" t="n"/>
      <c r="I142" s="36" t="n"/>
      <c r="J142" s="37" t="n"/>
    </row>
    <row r="143" ht="15" customHeight="1" s="62">
      <c r="A143" s="54" t="n"/>
      <c r="B143" s="33" t="n"/>
      <c r="C143" s="34" t="n"/>
      <c r="D143" s="34" t="n"/>
      <c r="E143" s="35" t="n"/>
      <c r="F143" s="35" t="n"/>
      <c r="G143" s="41" t="n"/>
      <c r="H143" s="34" t="n"/>
      <c r="I143" s="36" t="n"/>
      <c r="J143" s="37" t="n"/>
    </row>
    <row r="144" ht="15" customHeight="1" s="62">
      <c r="A144" s="54" t="n"/>
      <c r="B144" s="33" t="n"/>
      <c r="C144" s="34" t="n"/>
      <c r="D144" s="34" t="n"/>
      <c r="E144" s="35" t="n"/>
      <c r="F144" s="35" t="n"/>
      <c r="G144" s="41" t="n"/>
      <c r="H144" s="34" t="n"/>
      <c r="I144" s="36" t="n"/>
      <c r="J144" s="37" t="n"/>
    </row>
    <row r="145" ht="15" customHeight="1" s="62">
      <c r="A145" s="54" t="n"/>
      <c r="B145" s="33" t="n"/>
      <c r="C145" s="34" t="n"/>
      <c r="D145" s="34" t="n"/>
      <c r="E145" s="35" t="n"/>
      <c r="F145" s="35" t="n"/>
      <c r="G145" s="41" t="n"/>
      <c r="H145" s="34" t="n"/>
      <c r="I145" s="36" t="n"/>
      <c r="J145" s="37" t="n"/>
    </row>
    <row r="146" ht="15" customHeight="1" s="62">
      <c r="A146" s="54" t="n"/>
      <c r="B146" s="33" t="n"/>
      <c r="C146" s="34" t="n"/>
      <c r="D146" s="34" t="n"/>
      <c r="E146" s="35" t="n"/>
      <c r="F146" s="35" t="n"/>
      <c r="G146" s="41" t="n"/>
      <c r="H146" s="34" t="n"/>
      <c r="I146" s="36" t="n"/>
      <c r="J146" s="37" t="n"/>
    </row>
    <row r="147" ht="15" customHeight="1" s="62">
      <c r="A147" s="54" t="n"/>
      <c r="B147" s="33" t="n"/>
      <c r="C147" s="34" t="n"/>
      <c r="D147" s="34" t="n"/>
      <c r="E147" s="35" t="n"/>
      <c r="F147" s="35" t="n"/>
      <c r="G147" s="41" t="n"/>
      <c r="H147" s="34" t="n"/>
      <c r="I147" s="36" t="n"/>
      <c r="J147" s="37" t="n"/>
    </row>
    <row r="148" ht="15" customHeight="1" s="62">
      <c r="A148" s="54" t="n"/>
      <c r="B148" s="33" t="n"/>
      <c r="C148" s="34" t="n"/>
      <c r="D148" s="34" t="n"/>
      <c r="E148" s="35" t="n"/>
      <c r="F148" s="35" t="n"/>
      <c r="G148" s="41" t="n"/>
      <c r="H148" s="34" t="n"/>
      <c r="I148" s="36" t="n"/>
      <c r="J148" s="37" t="n"/>
    </row>
    <row r="149" ht="15" customHeight="1" s="62">
      <c r="A149" s="54" t="n"/>
      <c r="B149" s="33" t="n"/>
      <c r="C149" s="34" t="n"/>
      <c r="D149" s="34" t="n"/>
      <c r="E149" s="35" t="n"/>
      <c r="F149" s="35" t="n"/>
      <c r="G149" s="41" t="n"/>
      <c r="H149" s="34" t="n"/>
      <c r="I149" s="36" t="n"/>
      <c r="J149" s="37" t="n"/>
    </row>
    <row r="150" ht="15" customHeight="1" s="62">
      <c r="A150" s="54" t="n"/>
      <c r="B150" s="33" t="n"/>
      <c r="C150" s="34" t="n"/>
      <c r="D150" s="34" t="n"/>
      <c r="E150" s="35" t="n"/>
      <c r="F150" s="35" t="n"/>
      <c r="G150" s="41" t="n"/>
      <c r="H150" s="34" t="n"/>
      <c r="I150" s="36" t="n"/>
      <c r="J150" s="37" t="n"/>
    </row>
    <row r="151" ht="15" customHeight="1" s="62">
      <c r="A151" s="54" t="n"/>
      <c r="B151" s="33" t="n"/>
      <c r="C151" s="34" t="n"/>
      <c r="D151" s="34" t="n"/>
      <c r="E151" s="35" t="n"/>
      <c r="F151" s="35" t="n"/>
      <c r="G151" s="41" t="n"/>
      <c r="H151" s="34" t="n"/>
      <c r="I151" s="36" t="n"/>
      <c r="J151" s="37" t="n"/>
    </row>
    <row r="152" ht="15" customHeight="1" s="62">
      <c r="A152" s="54" t="n"/>
      <c r="B152" s="33" t="n"/>
      <c r="C152" s="34" t="n"/>
      <c r="D152" s="34" t="n"/>
      <c r="E152" s="35" t="n"/>
      <c r="F152" s="35" t="n"/>
      <c r="G152" s="41" t="n"/>
      <c r="H152" s="34" t="n"/>
      <c r="I152" s="36" t="n"/>
      <c r="J152" s="37" t="n"/>
    </row>
    <row r="153" ht="15" customHeight="1" s="62">
      <c r="A153" s="54" t="n"/>
      <c r="B153" s="33" t="n"/>
      <c r="C153" s="34" t="n"/>
      <c r="D153" s="34" t="n"/>
      <c r="E153" s="35" t="n"/>
      <c r="F153" s="35" t="n"/>
      <c r="G153" s="41" t="n"/>
      <c r="H153" s="34" t="n"/>
      <c r="I153" s="36" t="n"/>
      <c r="J153" s="37" t="n"/>
    </row>
    <row r="154" ht="15" customHeight="1" s="62">
      <c r="A154" s="54" t="n"/>
      <c r="B154" s="33" t="n"/>
      <c r="C154" s="34" t="n"/>
      <c r="D154" s="34" t="n"/>
      <c r="E154" s="35" t="n"/>
      <c r="F154" s="35" t="n"/>
      <c r="G154" s="41" t="n"/>
      <c r="H154" s="34" t="n"/>
      <c r="I154" s="36" t="n"/>
      <c r="J154" s="37" t="n"/>
    </row>
    <row r="155" ht="15" customHeight="1" s="62">
      <c r="A155" s="54" t="n"/>
      <c r="B155" s="33" t="n"/>
      <c r="C155" s="34" t="n"/>
      <c r="D155" s="34" t="n"/>
      <c r="E155" s="35" t="n"/>
      <c r="F155" s="35" t="n"/>
      <c r="G155" s="41" t="n"/>
      <c r="H155" s="34" t="n"/>
      <c r="I155" s="36" t="n"/>
      <c r="J155" s="37" t="n"/>
    </row>
    <row r="156" ht="15" customHeight="1" s="62">
      <c r="A156" s="54" t="n"/>
      <c r="B156" s="33" t="n"/>
      <c r="C156" s="34" t="n"/>
      <c r="D156" s="34" t="n"/>
      <c r="E156" s="35" t="n"/>
      <c r="F156" s="35" t="n"/>
      <c r="G156" s="41" t="n"/>
      <c r="H156" s="34" t="n"/>
      <c r="I156" s="36" t="n"/>
      <c r="J156" s="37" t="n"/>
    </row>
    <row r="157" ht="15" customHeight="1" s="62">
      <c r="A157" s="54" t="n"/>
      <c r="B157" s="33" t="n"/>
      <c r="C157" s="34" t="n"/>
      <c r="D157" s="34" t="n"/>
      <c r="E157" s="35" t="n"/>
      <c r="F157" s="35" t="n"/>
      <c r="G157" s="41" t="n"/>
      <c r="H157" s="34" t="n"/>
      <c r="I157" s="36" t="n"/>
      <c r="J157" s="37" t="n"/>
    </row>
    <row r="158" ht="15" customHeight="1" s="62">
      <c r="A158" s="54" t="n"/>
      <c r="B158" s="33" t="n"/>
      <c r="C158" s="34" t="n"/>
      <c r="D158" s="34" t="n"/>
      <c r="E158" s="35" t="n"/>
      <c r="F158" s="35" t="n"/>
      <c r="G158" s="41" t="n"/>
      <c r="H158" s="34" t="n"/>
      <c r="I158" s="36" t="n"/>
      <c r="J158" s="37" t="n"/>
    </row>
    <row r="159" ht="15" customHeight="1" s="62">
      <c r="A159" s="54" t="n"/>
      <c r="B159" s="33" t="n"/>
      <c r="C159" s="34" t="n"/>
      <c r="D159" s="34" t="n"/>
      <c r="E159" s="35" t="n"/>
      <c r="F159" s="35" t="n"/>
      <c r="G159" s="41" t="n"/>
      <c r="H159" s="34" t="n"/>
      <c r="I159" s="36" t="n"/>
      <c r="J159" s="37" t="n"/>
    </row>
    <row r="160" ht="15" customHeight="1" s="62">
      <c r="A160" s="54" t="n"/>
      <c r="B160" s="33" t="n"/>
      <c r="C160" s="34" t="n"/>
      <c r="D160" s="34" t="n"/>
      <c r="E160" s="35" t="n"/>
      <c r="F160" s="35" t="n"/>
      <c r="G160" s="41" t="n"/>
      <c r="H160" s="34" t="n"/>
      <c r="I160" s="36" t="n"/>
      <c r="J160" s="37" t="n"/>
    </row>
    <row r="161" ht="15" customHeight="1" s="62">
      <c r="A161" s="54" t="n"/>
      <c r="B161" s="33" t="n"/>
      <c r="C161" s="34" t="n"/>
      <c r="D161" s="34" t="n"/>
      <c r="E161" s="35" t="n"/>
      <c r="F161" s="35" t="n"/>
      <c r="G161" s="41" t="n"/>
      <c r="H161" s="34" t="n"/>
      <c r="I161" s="36" t="n"/>
      <c r="J161" s="37" t="n"/>
    </row>
    <row r="162" ht="15" customHeight="1" s="62">
      <c r="A162" s="54" t="n"/>
      <c r="B162" s="33" t="n"/>
      <c r="C162" s="34" t="n"/>
      <c r="D162" s="34" t="n"/>
      <c r="E162" s="35" t="n"/>
      <c r="F162" s="35" t="n"/>
      <c r="G162" s="41" t="n"/>
      <c r="H162" s="34" t="n"/>
      <c r="I162" s="36" t="n"/>
      <c r="J162" s="37" t="n"/>
    </row>
    <row r="163" ht="15" customHeight="1" s="62">
      <c r="A163" s="54" t="n"/>
      <c r="B163" s="33" t="n"/>
      <c r="C163" s="34" t="n"/>
      <c r="D163" s="34" t="n"/>
      <c r="E163" s="35" t="n"/>
      <c r="F163" s="35" t="n"/>
      <c r="G163" s="41" t="n"/>
      <c r="H163" s="34" t="n"/>
      <c r="I163" s="36" t="n"/>
      <c r="J163" s="37" t="n"/>
    </row>
    <row r="164" ht="15" customHeight="1" s="62">
      <c r="A164" s="54" t="n"/>
      <c r="B164" s="33" t="n"/>
      <c r="C164" s="34" t="n"/>
      <c r="D164" s="34" t="n"/>
      <c r="E164" s="35" t="n"/>
      <c r="F164" s="35" t="n"/>
      <c r="G164" s="41" t="n"/>
      <c r="H164" s="34" t="n"/>
      <c r="I164" s="36" t="n"/>
      <c r="J164" s="37" t="n"/>
    </row>
    <row r="165" ht="15" customHeight="1" s="62">
      <c r="A165" s="54" t="n"/>
      <c r="B165" s="33" t="n"/>
      <c r="C165" s="34" t="n"/>
      <c r="D165" s="34" t="n"/>
      <c r="E165" s="35" t="n"/>
      <c r="F165" s="35" t="n"/>
      <c r="G165" s="41" t="n"/>
      <c r="H165" s="34" t="n"/>
      <c r="I165" s="36" t="n"/>
      <c r="J165" s="37" t="n"/>
    </row>
    <row r="166" ht="15" customHeight="1" s="62">
      <c r="A166" s="54" t="n"/>
      <c r="B166" s="33" t="n"/>
      <c r="C166" s="34" t="n"/>
      <c r="D166" s="34" t="n"/>
      <c r="E166" s="35" t="n"/>
      <c r="F166" s="35" t="n"/>
      <c r="G166" s="41" t="n"/>
      <c r="H166" s="34" t="n"/>
      <c r="I166" s="36" t="n"/>
      <c r="J166" s="37" t="n"/>
    </row>
    <row r="167" ht="15" customHeight="1" s="62">
      <c r="A167" s="54" t="n"/>
      <c r="B167" s="33" t="n"/>
      <c r="C167" s="34" t="n"/>
      <c r="D167" s="34" t="n"/>
      <c r="E167" s="35" t="n"/>
      <c r="F167" s="35" t="n"/>
      <c r="G167" s="41" t="n"/>
      <c r="H167" s="34" t="n"/>
      <c r="I167" s="36" t="n"/>
      <c r="J167" s="37" t="n"/>
    </row>
    <row r="168" ht="15" customHeight="1" s="62">
      <c r="A168" s="54" t="n"/>
      <c r="B168" s="33" t="n"/>
      <c r="C168" s="34" t="n"/>
      <c r="D168" s="34" t="n"/>
      <c r="E168" s="35" t="n"/>
      <c r="F168" s="35" t="n"/>
      <c r="G168" s="41" t="n"/>
      <c r="H168" s="34" t="n"/>
      <c r="I168" s="36" t="n"/>
      <c r="J168" s="37" t="n"/>
    </row>
    <row r="169" ht="15" customHeight="1" s="62">
      <c r="A169" s="54" t="n"/>
      <c r="B169" s="33" t="n"/>
      <c r="C169" s="34" t="n"/>
      <c r="D169" s="34" t="n"/>
      <c r="E169" s="35" t="n"/>
      <c r="F169" s="35" t="n"/>
      <c r="G169" s="41" t="n"/>
      <c r="H169" s="34" t="n"/>
      <c r="I169" s="36" t="n"/>
      <c r="J169" s="37" t="n"/>
    </row>
    <row r="170" ht="15" customHeight="1" s="62">
      <c r="A170" s="54" t="n"/>
      <c r="B170" s="33" t="n"/>
      <c r="C170" s="34" t="n"/>
      <c r="D170" s="34" t="n"/>
      <c r="E170" s="35" t="n"/>
      <c r="F170" s="35" t="n"/>
      <c r="G170" s="41" t="n"/>
      <c r="H170" s="34" t="n"/>
      <c r="I170" s="36" t="n"/>
      <c r="J170" s="37" t="n"/>
    </row>
    <row r="171" ht="15" customHeight="1" s="62">
      <c r="A171" s="54" t="n"/>
      <c r="B171" s="33" t="n"/>
      <c r="C171" s="34" t="n"/>
      <c r="D171" s="34" t="n"/>
      <c r="E171" s="35" t="n"/>
      <c r="F171" s="35" t="n"/>
      <c r="G171" s="41" t="n"/>
      <c r="H171" s="34" t="n"/>
      <c r="I171" s="36" t="n"/>
      <c r="J171" s="37" t="n"/>
    </row>
    <row r="172" ht="15" customHeight="1" s="62">
      <c r="A172" s="54" t="n"/>
      <c r="B172" s="33" t="n"/>
      <c r="C172" s="34" t="n"/>
      <c r="D172" s="34" t="n"/>
      <c r="E172" s="35" t="n"/>
      <c r="F172" s="35" t="n"/>
      <c r="G172" s="41" t="n"/>
      <c r="H172" s="34" t="n"/>
      <c r="I172" s="36" t="n"/>
      <c r="J172" s="37" t="n"/>
    </row>
    <row r="173" ht="15" customHeight="1" s="62">
      <c r="A173" s="54" t="n"/>
      <c r="B173" s="33" t="n"/>
      <c r="C173" s="34" t="n"/>
      <c r="D173" s="34" t="n"/>
      <c r="E173" s="35" t="n"/>
      <c r="F173" s="35" t="n"/>
      <c r="G173" s="41" t="n"/>
      <c r="H173" s="34" t="n"/>
      <c r="I173" s="36" t="n"/>
      <c r="J173" s="37" t="n"/>
    </row>
    <row r="174" ht="15" customHeight="1" s="62">
      <c r="A174" s="54" t="n"/>
      <c r="B174" s="33" t="n"/>
      <c r="C174" s="34" t="n"/>
      <c r="D174" s="34" t="n"/>
      <c r="E174" s="35" t="n"/>
      <c r="F174" s="35" t="n"/>
      <c r="G174" s="41" t="n"/>
      <c r="H174" s="34" t="n"/>
      <c r="I174" s="36" t="n"/>
      <c r="J174" s="37" t="n"/>
    </row>
    <row r="175" ht="15" customHeight="1" s="62">
      <c r="A175" s="54" t="n"/>
      <c r="B175" s="33" t="n"/>
      <c r="C175" s="34" t="n"/>
      <c r="D175" s="34" t="n"/>
      <c r="E175" s="35" t="n"/>
      <c r="F175" s="35" t="n"/>
      <c r="G175" s="41" t="n"/>
      <c r="H175" s="34" t="n"/>
      <c r="I175" s="36" t="n"/>
      <c r="J175" s="37" t="n"/>
    </row>
    <row r="176" ht="15" customHeight="1" s="62">
      <c r="A176" s="54" t="n"/>
      <c r="B176" s="33" t="n"/>
      <c r="C176" s="34" t="n"/>
      <c r="D176" s="34" t="n"/>
      <c r="E176" s="35" t="n"/>
      <c r="F176" s="35" t="n"/>
      <c r="G176" s="41" t="n"/>
      <c r="H176" s="34" t="n"/>
      <c r="I176" s="36" t="n"/>
      <c r="J176" s="37" t="n"/>
    </row>
    <row r="177" ht="15" customHeight="1" s="62">
      <c r="A177" s="54" t="n"/>
      <c r="B177" s="33" t="n"/>
      <c r="C177" s="34" t="n"/>
      <c r="D177" s="34" t="n"/>
      <c r="E177" s="35" t="n"/>
      <c r="F177" s="35" t="n"/>
      <c r="G177" s="41" t="n"/>
      <c r="H177" s="34" t="n"/>
      <c r="I177" s="36" t="n"/>
      <c r="J177" s="37" t="n"/>
    </row>
    <row r="178" ht="15" customHeight="1" s="62">
      <c r="A178" s="54" t="n"/>
      <c r="B178" s="33" t="n"/>
      <c r="C178" s="34" t="n"/>
      <c r="D178" s="34" t="n"/>
      <c r="E178" s="35" t="n"/>
      <c r="F178" s="35" t="n"/>
      <c r="G178" s="41" t="n"/>
      <c r="H178" s="34" t="n"/>
      <c r="I178" s="36" t="n"/>
      <c r="J178" s="37" t="n"/>
    </row>
    <row r="179" ht="15" customHeight="1" s="62">
      <c r="A179" s="54" t="n"/>
      <c r="B179" s="33" t="n"/>
      <c r="C179" s="34" t="n"/>
      <c r="D179" s="34" t="n"/>
      <c r="E179" s="35" t="n"/>
      <c r="F179" s="35" t="n"/>
      <c r="G179" s="41" t="n"/>
      <c r="H179" s="34" t="n"/>
      <c r="I179" s="36" t="n"/>
      <c r="J179" s="37" t="n"/>
    </row>
    <row r="180" ht="15" customHeight="1" s="62">
      <c r="A180" s="54" t="n"/>
      <c r="B180" s="33" t="n"/>
      <c r="C180" s="34" t="n"/>
      <c r="D180" s="34" t="n"/>
      <c r="E180" s="35" t="n"/>
      <c r="F180" s="35" t="n"/>
      <c r="G180" s="41" t="n"/>
      <c r="H180" s="34" t="n"/>
      <c r="I180" s="36" t="n"/>
      <c r="J180" s="37" t="n"/>
    </row>
    <row r="181" ht="15" customHeight="1" s="62">
      <c r="A181" s="54" t="n"/>
      <c r="B181" s="33" t="n"/>
      <c r="C181" s="34" t="n"/>
      <c r="D181" s="34" t="n"/>
      <c r="E181" s="35" t="n"/>
      <c r="F181" s="35" t="n"/>
      <c r="G181" s="41" t="n"/>
      <c r="H181" s="34" t="n"/>
      <c r="I181" s="36" t="n"/>
      <c r="J181" s="37" t="n"/>
    </row>
    <row r="182" ht="15" customHeight="1" s="62">
      <c r="A182" s="54" t="n"/>
      <c r="B182" s="33" t="n"/>
      <c r="C182" s="34" t="n"/>
      <c r="D182" s="34" t="n"/>
      <c r="E182" s="35" t="n"/>
      <c r="F182" s="35" t="n"/>
      <c r="G182" s="41" t="n"/>
      <c r="H182" s="34" t="n"/>
      <c r="I182" s="36" t="n"/>
      <c r="J182" s="37" t="n"/>
    </row>
    <row r="183" ht="15" customHeight="1" s="62">
      <c r="A183" s="54" t="n"/>
      <c r="B183" s="33" t="n"/>
      <c r="C183" s="34" t="n"/>
      <c r="D183" s="34" t="n"/>
      <c r="E183" s="35" t="n"/>
      <c r="F183" s="35" t="n"/>
      <c r="G183" s="41" t="n"/>
      <c r="H183" s="34" t="n"/>
      <c r="I183" s="36" t="n"/>
      <c r="J183" s="37" t="n"/>
    </row>
    <row r="184" ht="15" customHeight="1" s="62">
      <c r="A184" s="54" t="n"/>
      <c r="B184" s="33" t="n"/>
      <c r="C184" s="34" t="n"/>
      <c r="D184" s="34" t="n"/>
      <c r="E184" s="35" t="n"/>
      <c r="F184" s="35" t="n"/>
      <c r="G184" s="41" t="n"/>
      <c r="H184" s="34" t="n"/>
      <c r="I184" s="36" t="n"/>
      <c r="J184" s="37" t="n"/>
    </row>
    <row r="185" ht="15" customHeight="1" s="62">
      <c r="A185" s="54" t="n"/>
      <c r="B185" s="33" t="n"/>
      <c r="C185" s="34" t="n"/>
      <c r="D185" s="34" t="n"/>
      <c r="E185" s="35" t="n"/>
      <c r="F185" s="35" t="n"/>
      <c r="G185" s="41" t="n"/>
      <c r="H185" s="34" t="n"/>
      <c r="I185" s="36" t="n"/>
      <c r="J185" s="37" t="n"/>
    </row>
    <row r="186" ht="15" customHeight="1" s="62">
      <c r="A186" s="54" t="n"/>
      <c r="B186" s="33" t="n"/>
      <c r="C186" s="34" t="n"/>
      <c r="D186" s="34" t="n"/>
      <c r="E186" s="35" t="n"/>
      <c r="F186" s="35" t="n"/>
      <c r="G186" s="41" t="n"/>
      <c r="H186" s="34" t="n"/>
      <c r="I186" s="36" t="n"/>
      <c r="J186" s="37" t="n"/>
    </row>
    <row r="187" ht="15" customHeight="1" s="62">
      <c r="A187" s="54" t="n"/>
      <c r="B187" s="33" t="n"/>
      <c r="C187" s="34" t="n"/>
      <c r="D187" s="34" t="n"/>
      <c r="E187" s="35" t="n"/>
      <c r="F187" s="35" t="n"/>
      <c r="G187" s="41" t="n"/>
      <c r="H187" s="34" t="n"/>
      <c r="I187" s="36" t="n"/>
      <c r="J187" s="37" t="n"/>
    </row>
    <row r="188" ht="15" customHeight="1" s="62">
      <c r="A188" s="54" t="n"/>
      <c r="B188" s="33" t="n"/>
      <c r="C188" s="34" t="n"/>
      <c r="D188" s="34" t="n"/>
      <c r="E188" s="35" t="n"/>
      <c r="F188" s="35" t="n"/>
      <c r="G188" s="41" t="n"/>
      <c r="H188" s="34" t="n"/>
      <c r="I188" s="36" t="n"/>
      <c r="J188" s="37" t="n"/>
    </row>
    <row r="189" ht="15" customHeight="1" s="62">
      <c r="A189" s="54" t="n"/>
      <c r="B189" s="33" t="n"/>
      <c r="C189" s="34" t="n"/>
      <c r="D189" s="34" t="n"/>
      <c r="E189" s="35" t="n"/>
      <c r="F189" s="35" t="n"/>
      <c r="G189" s="41" t="n"/>
      <c r="H189" s="34" t="n"/>
      <c r="I189" s="36" t="n"/>
      <c r="J189" s="37" t="n"/>
    </row>
    <row r="190" ht="15" customHeight="1" s="62">
      <c r="A190" s="54" t="n"/>
      <c r="B190" s="33" t="n"/>
      <c r="C190" s="34" t="n"/>
      <c r="D190" s="34" t="n"/>
      <c r="E190" s="35" t="n"/>
      <c r="F190" s="35" t="n"/>
      <c r="G190" s="41" t="n"/>
      <c r="H190" s="34" t="n"/>
      <c r="I190" s="36" t="n"/>
      <c r="J190" s="37" t="n"/>
    </row>
    <row r="191" ht="15" customHeight="1" s="62">
      <c r="A191" s="54" t="n"/>
      <c r="B191" s="33" t="n"/>
      <c r="C191" s="34" t="n"/>
      <c r="D191" s="34" t="n"/>
      <c r="E191" s="35" t="n"/>
      <c r="F191" s="35" t="n"/>
      <c r="G191" s="41" t="n"/>
      <c r="H191" s="34" t="n"/>
      <c r="I191" s="36" t="n"/>
      <c r="J191" s="37" t="n"/>
    </row>
    <row r="192" ht="15" customHeight="1" s="62">
      <c r="A192" s="54" t="n"/>
      <c r="B192" s="33" t="n"/>
      <c r="C192" s="34" t="n"/>
      <c r="D192" s="34" t="n"/>
      <c r="E192" s="35" t="n"/>
      <c r="F192" s="35" t="n"/>
      <c r="G192" s="41" t="n"/>
      <c r="H192" s="34" t="n"/>
      <c r="I192" s="36" t="n"/>
      <c r="J192" s="37" t="n"/>
    </row>
    <row r="193" ht="15" customHeight="1" s="62">
      <c r="A193" s="54" t="n"/>
      <c r="B193" s="33" t="n"/>
      <c r="C193" s="34" t="n"/>
      <c r="D193" s="34" t="n"/>
      <c r="E193" s="35" t="n"/>
      <c r="F193" s="35" t="n"/>
      <c r="G193" s="41" t="n"/>
      <c r="H193" s="34" t="n"/>
      <c r="I193" s="36" t="n"/>
      <c r="J193" s="37" t="n"/>
    </row>
    <row r="194" ht="15" customHeight="1" s="62">
      <c r="A194" s="54" t="n"/>
      <c r="B194" s="33" t="n"/>
      <c r="C194" s="34" t="n"/>
      <c r="D194" s="34" t="n"/>
      <c r="E194" s="35" t="n"/>
      <c r="F194" s="35" t="n"/>
      <c r="G194" s="41" t="n"/>
      <c r="H194" s="34" t="n"/>
      <c r="I194" s="36" t="n"/>
      <c r="J194" s="37" t="n"/>
    </row>
    <row r="195" ht="15" customHeight="1" s="62">
      <c r="A195" s="54" t="n"/>
      <c r="B195" s="33" t="n"/>
      <c r="C195" s="34" t="n"/>
      <c r="D195" s="34" t="n"/>
      <c r="E195" s="35" t="n"/>
      <c r="F195" s="35" t="n"/>
      <c r="G195" s="41" t="n"/>
      <c r="H195" s="34" t="n"/>
      <c r="I195" s="36" t="n"/>
      <c r="J195" s="37" t="n"/>
    </row>
    <row r="196" ht="15" customHeight="1" s="62">
      <c r="A196" s="54" t="n"/>
      <c r="B196" s="33" t="n"/>
      <c r="C196" s="34" t="n"/>
      <c r="D196" s="34" t="n"/>
      <c r="E196" s="35" t="n"/>
      <c r="F196" s="35" t="n"/>
      <c r="G196" s="41" t="n"/>
      <c r="H196" s="34" t="n"/>
      <c r="I196" s="36" t="n"/>
      <c r="J196" s="37" t="n"/>
    </row>
    <row r="197" ht="15" customHeight="1" s="62">
      <c r="A197" s="54" t="n"/>
      <c r="B197" s="33" t="n"/>
      <c r="C197" s="34" t="n"/>
      <c r="D197" s="34" t="n"/>
      <c r="E197" s="35" t="n"/>
      <c r="F197" s="35" t="n"/>
      <c r="G197" s="41" t="n"/>
      <c r="H197" s="34" t="n"/>
      <c r="I197" s="36" t="n"/>
      <c r="J197" s="37" t="n"/>
    </row>
    <row r="198" ht="15" customHeight="1" s="62">
      <c r="A198" s="54" t="n"/>
      <c r="B198" s="33" t="n"/>
      <c r="C198" s="34" t="n"/>
      <c r="D198" s="34" t="n"/>
      <c r="E198" s="35" t="n"/>
      <c r="F198" s="35" t="n"/>
      <c r="G198" s="41" t="n"/>
      <c r="H198" s="34" t="n"/>
      <c r="I198" s="36" t="n"/>
      <c r="J198" s="37" t="n"/>
    </row>
    <row r="199" ht="15" customHeight="1" s="62">
      <c r="A199" s="54" t="n"/>
      <c r="B199" s="33" t="n"/>
      <c r="C199" s="34" t="n"/>
      <c r="D199" s="34" t="n"/>
      <c r="E199" s="35" t="n"/>
      <c r="F199" s="35" t="n"/>
      <c r="G199" s="41" t="n"/>
      <c r="H199" s="34" t="n"/>
      <c r="I199" s="36" t="n"/>
      <c r="J199" s="37" t="n"/>
    </row>
    <row r="200" ht="15" customHeight="1" s="62">
      <c r="A200" s="54" t="n"/>
      <c r="B200" s="33" t="n"/>
      <c r="C200" s="34" t="n"/>
      <c r="D200" s="34" t="n"/>
      <c r="E200" s="35" t="n"/>
      <c r="F200" s="35" t="n"/>
      <c r="G200" s="41" t="n"/>
      <c r="H200" s="34" t="n"/>
      <c r="I200" s="36" t="n"/>
      <c r="J200" s="37" t="n"/>
    </row>
    <row r="201" ht="15" customHeight="1" s="62">
      <c r="A201" s="54" t="n"/>
      <c r="B201" s="33" t="n"/>
      <c r="C201" s="34" t="n"/>
      <c r="D201" s="34" t="n"/>
      <c r="E201" s="35" t="n"/>
      <c r="F201" s="35" t="n"/>
      <c r="G201" s="41" t="n"/>
      <c r="H201" s="34" t="n"/>
      <c r="I201" s="36" t="n"/>
      <c r="J201" s="37" t="n"/>
    </row>
    <row r="202" ht="15" customHeight="1" s="62">
      <c r="A202" s="54" t="n"/>
      <c r="B202" s="33" t="n"/>
      <c r="C202" s="34" t="n"/>
      <c r="D202" s="34" t="n"/>
      <c r="E202" s="35" t="n"/>
      <c r="F202" s="35" t="n"/>
      <c r="G202" s="41" t="n"/>
      <c r="H202" s="34" t="n"/>
      <c r="I202" s="36" t="n"/>
      <c r="J202" s="37" t="n"/>
    </row>
    <row r="203" ht="15" customHeight="1" s="62">
      <c r="A203" s="54" t="n"/>
      <c r="B203" s="33" t="n"/>
      <c r="C203" s="34" t="n"/>
      <c r="D203" s="34" t="n"/>
      <c r="E203" s="35" t="n"/>
      <c r="F203" s="35" t="n"/>
      <c r="G203" s="41" t="n"/>
      <c r="H203" s="34" t="n"/>
      <c r="I203" s="36" t="n"/>
      <c r="J203" s="37" t="n"/>
    </row>
    <row r="204" ht="15" customHeight="1" s="62">
      <c r="A204" s="54" t="n"/>
      <c r="B204" s="33" t="n"/>
      <c r="C204" s="34" t="n"/>
      <c r="D204" s="34" t="n"/>
      <c r="E204" s="35" t="n"/>
      <c r="F204" s="35" t="n"/>
      <c r="G204" s="41" t="n"/>
      <c r="H204" s="34" t="n"/>
      <c r="I204" s="36" t="n"/>
      <c r="J204" s="37" t="n"/>
    </row>
    <row r="205" ht="15" customHeight="1" s="62">
      <c r="A205" s="54" t="n"/>
      <c r="B205" s="33" t="n"/>
      <c r="C205" s="34" t="n"/>
      <c r="D205" s="34" t="n"/>
      <c r="E205" s="35" t="n"/>
      <c r="F205" s="35" t="n"/>
      <c r="G205" s="41" t="n"/>
      <c r="H205" s="34" t="n"/>
      <c r="I205" s="36" t="n"/>
      <c r="J205" s="37" t="n"/>
    </row>
  </sheetData>
  <mergeCells count="3">
    <mergeCell ref="A1:J1"/>
    <mergeCell ref="A4:J4"/>
    <mergeCell ref="A2:J2"/>
  </mergeCells>
  <conditionalFormatting sqref="A6:H100">
    <cfRule type="expression" priority="9" dxfId="1">
      <formula>$C6="Monthly Rent Charge"</formula>
    </cfRule>
    <cfRule type="expression" priority="11" dxfId="0">
      <formula>$C6="Payment Received"</formula>
    </cfRule>
  </conditionalFormatting>
  <conditionalFormatting sqref="H3">
    <cfRule type="cellIs" priority="16" operator="lessThan" dxfId="3">
      <formula>0</formula>
    </cfRule>
    <cfRule type="cellIs" priority="17" operator="equal" dxfId="3">
      <formula>0</formula>
    </cfRule>
    <cfRule type="cellIs" priority="18" operator="greaterThan" dxfId="2">
      <formula>0</formula>
    </cfRule>
  </conditionalFormatting>
  <conditionalFormatting sqref="I6:I100">
    <cfRule type="cellIs" priority="13" operator="lessThan" dxfId="3">
      <formula>0</formula>
    </cfRule>
    <cfRule type="cellIs" priority="14" operator="equal" dxfId="3">
      <formula>0</formula>
    </cfRule>
    <cfRule type="cellIs" priority="15" operator="greaterThan" dxfId="2">
      <formula>0</formula>
    </cfRule>
  </conditionalFormatting>
  <conditionalFormatting sqref="J6:J100">
    <cfRule type="expression" priority="10" dxfId="1">
      <formula>$C6="Monthly Rent Charge"</formula>
    </cfRule>
    <cfRule type="expression" priority="12" dxfId="0">
      <formula>$C6="Payment Received"</formula>
    </cfRule>
  </conditionalFormatting>
  <dataValidations count="3">
    <dataValidation sqref="B6:B69" showDropDown="0" showInputMessage="0" showErrorMessage="0" allowBlank="1" type="list">
      <formula1>"January,February,March,April,May,June,July,August,September,October,November,December"</formula1>
      <formula2>0</formula2>
    </dataValidation>
    <dataValidation sqref="C6:C69" showDropDown="0" showInputMessage="0" showErrorMessage="0" allowBlank="1" type="list">
      <formula1>"Monthly Rent Charge,Payment Received"</formula1>
      <formula2>0</formula2>
    </dataValidation>
    <dataValidation sqref="A6:A205" showDropDown="0" showInputMessage="1" showErrorMessage="1" allowBlank="1" errorTitle="Invalid date" error="Please enter a valid date." promptTitle="Select a date" prompt="Use the date picker or enter a valid payment date here." type="date">
      <formula1>DATE(2000,1,1)</formula1>
      <formula2>DATE(2100,12,31)</formula2>
    </dataValidation>
  </dataValidations>
  <pageMargins left="0.25" right="0.25" top="0.75" bottom="0.75" header="0.3" footer="0.3"/>
  <pageSetup orientation="portrait" paperSize="9" scale="49" fitToHeight="0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207"/>
  <sheetViews>
    <sheetView topLeftCell="A34" zoomScaleNormal="100" workbookViewId="0">
      <selection activeCell="H48" sqref="H48"/>
    </sheetView>
  </sheetViews>
  <sheetFormatPr baseColWidth="8" defaultColWidth="8.6640625" defaultRowHeight="14.4"/>
  <cols>
    <col width="14" customWidth="1" style="62" min="1" max="1"/>
    <col width="24" customWidth="1" style="62" min="3" max="3"/>
    <col width="12.44140625" customWidth="1" style="62" min="4" max="4"/>
    <col width="15" customWidth="1" style="62" min="5" max="5"/>
    <col width="17" customWidth="1" style="62" min="6" max="6"/>
    <col width="18" customWidth="1" style="62" min="7" max="7"/>
    <col width="22" customWidth="1" style="62" min="8" max="8"/>
    <col width="17" customWidth="1" style="62" min="9" max="9"/>
    <col width="30" customWidth="1" style="62" min="10" max="10"/>
    <col width="12" customWidth="1" style="62" min="11" max="11"/>
    <col width="10" customWidth="1" style="62" min="12" max="12"/>
  </cols>
  <sheetData>
    <row r="1" ht="19.5" customHeight="1" s="62">
      <c r="A1" s="74" t="inlineStr">
        <is>
          <t>Unit B1 — Tenant Statement / Ledger</t>
        </is>
      </c>
    </row>
    <row r="2" ht="27.75" customHeight="1" s="62">
      <c r="A2" s="76" t="inlineStr">
        <is>
          <t>Select a month to create a Monthly Rent Charge: the date fills as the first day of that month (current year) and description fills automatically. For a payment, leave Month blank and choose Payment Received.</t>
        </is>
      </c>
    </row>
    <row r="3" ht="15" customHeight="1" s="62">
      <c r="A3" s="25" t="inlineStr">
        <is>
          <t>Unit</t>
        </is>
      </c>
      <c r="B3" s="25" t="inlineStr">
        <is>
          <t>B1</t>
        </is>
      </c>
      <c r="C3" s="25" t="inlineStr">
        <is>
          <t>Current Rent</t>
        </is>
      </c>
      <c r="D3" s="26" t="n">
        <v>3000</v>
      </c>
      <c r="E3" s="26" t="inlineStr">
        <is>
          <t>Garbage</t>
        </is>
      </c>
      <c r="F3" s="26" t="n">
        <v>200</v>
      </c>
      <c r="G3" s="25" t="inlineStr">
        <is>
          <t>Current Balance</t>
        </is>
      </c>
      <c r="H3" s="27">
        <f>IFERROR(LOOKUP(9.99E+307,I6:I60),0)</f>
        <v/>
      </c>
      <c r="I3" s="25" t="inlineStr">
        <is>
          <t>Tenant</t>
        </is>
      </c>
      <c r="J3" s="28" t="inlineStr">
        <is>
          <t>JACKLYNE CHENINGINGWA</t>
        </is>
      </c>
      <c r="K3" s="29" t="inlineStr">
        <is>
          <t>Deposit Held</t>
        </is>
      </c>
      <c r="L3" s="30" t="n">
        <v>0</v>
      </c>
    </row>
    <row r="4">
      <c r="A4" s="75" t="inlineStr">
        <is>
          <t>Current tenant only. When vacating → copy rows to Archive sheet, then clear this ledger.</t>
        </is>
      </c>
    </row>
    <row r="5" ht="15" customHeight="1" s="62">
      <c r="A5" s="31" t="inlineStr">
        <is>
          <t>Date</t>
        </is>
      </c>
      <c r="B5" s="31" t="inlineStr">
        <is>
          <t>Month</t>
        </is>
      </c>
      <c r="C5" s="31" t="inlineStr">
        <is>
          <t>Description</t>
        </is>
      </c>
      <c r="D5" s="31" t="inlineStr">
        <is>
          <t>Tenant</t>
        </is>
      </c>
      <c r="E5" s="31" t="inlineStr">
        <is>
          <t>Rent Charged</t>
        </is>
      </c>
      <c r="F5" s="31" t="inlineStr">
        <is>
          <t>Garbage Charged</t>
        </is>
      </c>
      <c r="G5" s="31" t="inlineStr">
        <is>
          <t>Payment Received</t>
        </is>
      </c>
      <c r="H5" s="31" t="inlineStr">
        <is>
          <t>M-Pesa Reference</t>
        </is>
      </c>
      <c r="I5" s="31" t="inlineStr">
        <is>
          <t>Running Balance</t>
        </is>
      </c>
      <c r="J5" s="31" t="inlineStr">
        <is>
          <t>Remarks</t>
        </is>
      </c>
    </row>
    <row r="6" ht="15" customHeight="1" s="62">
      <c r="A6" s="54" t="n">
        <v>45566</v>
      </c>
      <c r="B6" s="33" t="inlineStr">
        <is>
          <t>October</t>
        </is>
      </c>
      <c r="C6" s="34">
        <f>IF(B6="","","Monthly Rent Charge")</f>
        <v/>
      </c>
      <c r="D6" s="34" t="n"/>
      <c r="E6" s="35">
        <f>IF(C6="Monthly Rent Charge",$D$3,"")</f>
        <v/>
      </c>
      <c r="F6" s="35">
        <f>IF(C6="Monthly Rent Charge",$F$3,"")</f>
        <v/>
      </c>
      <c r="G6" s="41" t="n"/>
      <c r="H6" s="34" t="n"/>
      <c r="I6" s="36">
        <f>IF(A6="","",IF(C6="Payment Received",-IFERROR(G6,0),IF(C6="Monthly Rent Charge",IFERROR(E6,0)+IFERROR(F6,0),0)))</f>
        <v/>
      </c>
      <c r="J6" s="37" t="n"/>
    </row>
    <row r="7" ht="15" customHeight="1" s="62">
      <c r="A7" s="53" t="n">
        <v>45595</v>
      </c>
      <c r="B7" s="33" t="n"/>
      <c r="C7" s="34" t="inlineStr">
        <is>
          <t>Payment Received</t>
        </is>
      </c>
      <c r="D7" s="34" t="n"/>
      <c r="E7" s="35">
        <f>IF(C7="Monthly Rent Charge",$D$3,"")</f>
        <v/>
      </c>
      <c r="F7" s="35">
        <f>IF(C7="Monthly Rent Charge",$F$3,"")</f>
        <v/>
      </c>
      <c r="G7" s="41" t="n">
        <v>3500</v>
      </c>
      <c r="H7" s="34" t="n"/>
      <c r="I7" s="36">
        <f>IF(A7="","",IF(C7="Payment Received",I6-IFERROR(G7,0),IF(C7="Monthly Rent Charge",I6+IFERROR(E7,0)+IFERROR(F7,0),I6)))</f>
        <v/>
      </c>
      <c r="J7" s="37" t="n"/>
    </row>
    <row r="8" ht="15" customHeight="1" s="62">
      <c r="A8" s="54" t="n">
        <v>45597</v>
      </c>
      <c r="B8" s="33" t="inlineStr">
        <is>
          <t>November</t>
        </is>
      </c>
      <c r="C8" s="34">
        <f>IF(B8="","","Monthly Rent Charge")</f>
        <v/>
      </c>
      <c r="D8" s="34" t="n"/>
      <c r="E8" s="35">
        <f>IF(C8="Monthly Rent Charge",$D$3,"")</f>
        <v/>
      </c>
      <c r="F8" s="35">
        <f>IF(C8="Monthly Rent Charge",$F$3,"")</f>
        <v/>
      </c>
      <c r="G8" s="41" t="n"/>
      <c r="H8" s="34" t="n"/>
      <c r="I8" s="36">
        <f>IF(A8="","",IF(C8="Payment Received",I7-IFERROR(G8,0),IF(C8="Monthly Rent Charge",I7+IFERROR(E8,0)+IFERROR(F8,0),I7)))</f>
        <v/>
      </c>
      <c r="J8" s="37" t="n"/>
    </row>
    <row r="9" ht="15" customHeight="1" s="62">
      <c r="A9" s="54" t="n">
        <v>45627</v>
      </c>
      <c r="B9" s="33" t="inlineStr">
        <is>
          <t>December</t>
        </is>
      </c>
      <c r="C9" s="34">
        <f>IF(B9="","","Monthly Rent Charge")</f>
        <v/>
      </c>
      <c r="D9" s="34" t="n"/>
      <c r="E9" s="35">
        <f>IF(C9="Monthly Rent Charge",$D$3,"")</f>
        <v/>
      </c>
      <c r="F9" s="35">
        <f>IF(C9="Monthly Rent Charge",$F$3,"")</f>
        <v/>
      </c>
      <c r="G9" s="41" t="n"/>
      <c r="H9" s="34" t="n"/>
      <c r="I9" s="36">
        <f>IF(A9="","",IF(C9="Payment Received",I8-IFERROR(G9,0),IF(C9="Monthly Rent Charge",I8+IFERROR(E9,0)+IFERROR(F9,0),I8)))</f>
        <v/>
      </c>
      <c r="J9" s="37" t="n"/>
    </row>
    <row r="10" ht="15" customHeight="1" s="62">
      <c r="A10" s="53" t="n">
        <v>45653</v>
      </c>
      <c r="B10" s="33" t="n"/>
      <c r="C10" s="34" t="inlineStr">
        <is>
          <t>Payment Received</t>
        </is>
      </c>
      <c r="D10" s="34" t="n"/>
      <c r="E10" s="35">
        <f>IF(C10="Monthly Rent Charge",$D$3,"")</f>
        <v/>
      </c>
      <c r="F10" s="35">
        <f>IF(C10="Monthly Rent Charge",$F$3,"")</f>
        <v/>
      </c>
      <c r="G10" s="41" t="n">
        <v>3200</v>
      </c>
      <c r="H10" s="34" t="n"/>
      <c r="I10" s="36">
        <f>IF(A10="","",IF(C10="Payment Received",I9-IFERROR(G10,0),IF(C10="Monthly Rent Charge",I9+IFERROR(E10,0)+IFERROR(F10,0),I9)))</f>
        <v/>
      </c>
      <c r="J10" s="37" t="n"/>
    </row>
    <row r="11" ht="15" customHeight="1" s="62">
      <c r="A11" s="54" t="n">
        <v>45658</v>
      </c>
      <c r="B11" s="33" t="inlineStr">
        <is>
          <t>January</t>
        </is>
      </c>
      <c r="C11" s="34">
        <f>IF(B11="","","Monthly Rent Charge")</f>
        <v/>
      </c>
      <c r="D11" s="34" t="n"/>
      <c r="E11" s="35">
        <f>IF(C11="Monthly Rent Charge",$D$3,"")</f>
        <v/>
      </c>
      <c r="F11" s="35">
        <f>IF(C11="Monthly Rent Charge",$F$3,"")</f>
        <v/>
      </c>
      <c r="G11" s="41" t="n"/>
      <c r="H11" s="34" t="n"/>
      <c r="I11" s="36">
        <f>IF(A11="","",IF(C11="Payment Received",I10-IFERROR(G11,0),IF(C11="Monthly Rent Charge",I10+IFERROR(E11,0)+IFERROR(F11,0),I10)))</f>
        <v/>
      </c>
      <c r="J11" s="37" t="n"/>
    </row>
    <row r="12" ht="15" customHeight="1" s="62">
      <c r="A12" s="54" t="n">
        <v>45658</v>
      </c>
      <c r="B12" s="33" t="n"/>
      <c r="C12" s="34" t="inlineStr">
        <is>
          <t>Payment Received</t>
        </is>
      </c>
      <c r="D12" s="34" t="n"/>
      <c r="E12" s="35" t="n"/>
      <c r="F12" s="35" t="n"/>
      <c r="G12" s="41" t="n">
        <v>3200</v>
      </c>
      <c r="H12" s="34" t="n"/>
      <c r="I12" s="36">
        <f>IF(A12="","",IF(C12="Payment Received",I11-IFERROR(G12,0),IF(C12="Monthly Rent Charge",I11+IFERROR(E12,0)+IFERROR(F12,0),I11)))</f>
        <v/>
      </c>
      <c r="J12" s="37" t="n"/>
    </row>
    <row r="13" ht="15" customHeight="1" s="62">
      <c r="A13" s="54" t="n">
        <v>45689</v>
      </c>
      <c r="B13" s="33" t="inlineStr">
        <is>
          <t>February</t>
        </is>
      </c>
      <c r="C13" s="34">
        <f>IF(B13="","","Monthly Rent Charge")</f>
        <v/>
      </c>
      <c r="D13" s="34" t="n"/>
      <c r="E13" s="35">
        <f>IF(C13="Monthly Rent Charge",$D$3,"")</f>
        <v/>
      </c>
      <c r="F13" s="35">
        <f>IF(C13="Monthly Rent Charge",$F$3,"")</f>
        <v/>
      </c>
      <c r="G13" s="41" t="n"/>
      <c r="H13" s="34" t="n"/>
      <c r="I13" s="36">
        <f>IF(A13="","",IF(C13="Payment Received",I12-IFERROR(G13,0),IF(C13="Monthly Rent Charge",I12+IFERROR(E13,0)+IFERROR(F13,0),I12)))</f>
        <v/>
      </c>
      <c r="J13" s="37" t="n"/>
    </row>
    <row r="14" ht="15" customHeight="1" s="62">
      <c r="A14" s="54" t="n">
        <v>45689</v>
      </c>
      <c r="B14" s="33" t="n"/>
      <c r="C14" s="34" t="inlineStr">
        <is>
          <t>Payment Received</t>
        </is>
      </c>
      <c r="D14" s="34" t="n"/>
      <c r="E14" s="35">
        <f>IF(C14="Monthly Rent Charge",$D$3,"")</f>
        <v/>
      </c>
      <c r="F14" s="35">
        <f>IF(C14="Monthly Rent Charge",$F$3,"")</f>
        <v/>
      </c>
      <c r="G14" s="41" t="n">
        <v>3200</v>
      </c>
      <c r="H14" s="34" t="n"/>
      <c r="I14" s="36">
        <f>IF(A14="","",IF(C14="Payment Received",I13-IFERROR(G14,0),IF(C14="Monthly Rent Charge",I13+IFERROR(E14,0)+IFERROR(F14,0),I13)))</f>
        <v/>
      </c>
      <c r="J14" s="37" t="n"/>
    </row>
    <row r="15" ht="15" customHeight="1" s="62">
      <c r="A15" s="54" t="n">
        <v>45717</v>
      </c>
      <c r="B15" s="33" t="inlineStr">
        <is>
          <t>March</t>
        </is>
      </c>
      <c r="C15" s="34">
        <f>IF(B15="","","Monthly Rent Charge")</f>
        <v/>
      </c>
      <c r="D15" s="34" t="n"/>
      <c r="E15" s="35">
        <f>IF(C15="Monthly Rent Charge",$D$3,"")</f>
        <v/>
      </c>
      <c r="F15" s="35">
        <f>IF(C15="Monthly Rent Charge",$F$3,"")</f>
        <v/>
      </c>
      <c r="G15" s="41" t="n"/>
      <c r="H15" s="34" t="n"/>
      <c r="I15" s="36">
        <f>IF(A15="","",IF(C15="Payment Received",I14-IFERROR(G15,0),IF(C15="Monthly Rent Charge",I14+IFERROR(E15,0)+IFERROR(F15,0),I14)))</f>
        <v/>
      </c>
      <c r="J15" s="37" t="n"/>
    </row>
    <row r="16" ht="15" customHeight="1" s="62">
      <c r="A16" s="53" t="n">
        <v>45723</v>
      </c>
      <c r="B16" s="33" t="n"/>
      <c r="C16" s="34" t="inlineStr">
        <is>
          <t>Payment Received</t>
        </is>
      </c>
      <c r="D16" s="34" t="n"/>
      <c r="E16" s="35">
        <f>IF(C16="Monthly Rent Charge",$D$3,"")</f>
        <v/>
      </c>
      <c r="F16" s="35">
        <f>IF(C16="Monthly Rent Charge",$F$3,"")</f>
        <v/>
      </c>
      <c r="G16" s="41" t="n">
        <v>2000</v>
      </c>
      <c r="H16" s="39" t="inlineStr">
        <is>
          <t>TC70SR0JO2</t>
        </is>
      </c>
      <c r="I16" s="36">
        <f>IF(A16="","",IF(C16="Payment Received",I15-IFERROR(G16,0),IF(C16="Monthly Rent Charge",I15+IFERROR(E16,0)+IFERROR(F16,0),I15)))</f>
        <v/>
      </c>
      <c r="J16" s="37" t="n"/>
    </row>
    <row r="17" ht="15" customHeight="1" s="62">
      <c r="A17" s="53" t="n">
        <v>45736</v>
      </c>
      <c r="B17" s="33" t="n"/>
      <c r="C17" s="34" t="inlineStr">
        <is>
          <t>Payment Received</t>
        </is>
      </c>
      <c r="D17" s="34" t="n"/>
      <c r="E17" s="35">
        <f>IF(C17="Monthly Rent Charge",$D$3,"")</f>
        <v/>
      </c>
      <c r="F17" s="35">
        <f>IF(C17="Monthly Rent Charge",$F$3,"")</f>
        <v/>
      </c>
      <c r="G17" s="41" t="n">
        <v>1000</v>
      </c>
      <c r="H17" s="39" t="inlineStr">
        <is>
          <t>TCK4FJKOF6</t>
        </is>
      </c>
      <c r="I17" s="36">
        <f>IF(A17="","",IF(C17="Payment Received",I16-IFERROR(G17,0),IF(C17="Monthly Rent Charge",I16+IFERROR(E17,0)+IFERROR(F17,0),I16)))</f>
        <v/>
      </c>
      <c r="J17" s="37" t="n"/>
    </row>
    <row r="18" ht="15" customHeight="1" s="62">
      <c r="A18" s="54" t="n">
        <v>45748</v>
      </c>
      <c r="B18" s="33" t="inlineStr">
        <is>
          <t>April</t>
        </is>
      </c>
      <c r="C18" s="34">
        <f>IF(B18="","","Monthly Rent Charge")</f>
        <v/>
      </c>
      <c r="D18" s="34" t="n"/>
      <c r="E18" s="35">
        <f>IF(C18="Monthly Rent Charge",$D$3,"")</f>
        <v/>
      </c>
      <c r="F18" s="35">
        <f>IF(C18="Monthly Rent Charge",$F$3,"")</f>
        <v/>
      </c>
      <c r="G18" s="41" t="n"/>
      <c r="H18" s="34" t="n"/>
      <c r="I18" s="36">
        <f>IF(A18="","",IF(C18="Payment Received",I17-IFERROR(G18,0),IF(C18="Monthly Rent Charge",I17+IFERROR(E18,0)+IFERROR(F18,0),I17)))</f>
        <v/>
      </c>
      <c r="J18" s="37" t="n"/>
    </row>
    <row r="19" ht="15" customHeight="1" s="62">
      <c r="A19" s="54" t="n">
        <v>45778</v>
      </c>
      <c r="B19" s="33" t="inlineStr">
        <is>
          <t>May</t>
        </is>
      </c>
      <c r="C19" s="34">
        <f>IF(B19="","","Monthly Rent Charge")</f>
        <v/>
      </c>
      <c r="D19" s="34" t="n"/>
      <c r="E19" s="35">
        <f>IF(C19="Monthly Rent Charge",$D$3,"")</f>
        <v/>
      </c>
      <c r="F19" s="35">
        <f>IF(C19="Monthly Rent Charge",$F$3,"")</f>
        <v/>
      </c>
      <c r="G19" s="41" t="n"/>
      <c r="H19" s="34" t="n"/>
      <c r="I19" s="36">
        <f>IF(A19="","",IF(C19="Payment Received",I18-IFERROR(G19,0),IF(C19="Monthly Rent Charge",I18+IFERROR(E19,0)+IFERROR(F19,0),I18)))</f>
        <v/>
      </c>
      <c r="J19" s="37" t="n"/>
    </row>
    <row r="20" ht="15" customHeight="1" s="62">
      <c r="A20" s="53" t="n">
        <v>45793</v>
      </c>
      <c r="B20" s="33" t="n"/>
      <c r="C20" s="34" t="inlineStr">
        <is>
          <t>Payment Received</t>
        </is>
      </c>
      <c r="D20" s="34" t="n"/>
      <c r="E20" s="35">
        <f>IF(C20="Monthly Rent Charge",$D$3,"")</f>
        <v/>
      </c>
      <c r="F20" s="35">
        <f>IF(C20="Monthly Rent Charge",$F$3,"")</f>
        <v/>
      </c>
      <c r="G20" s="41" t="n">
        <v>9600</v>
      </c>
      <c r="H20" s="39" t="inlineStr">
        <is>
          <t>TEG4WN2RS4</t>
        </is>
      </c>
      <c r="I20" s="36">
        <f>IF(A20="","",IF(C20="Payment Received",I19-IFERROR(G20,0),IF(C20="Monthly Rent Charge",I19+IFERROR(E20,0)+IFERROR(F20,0),I19)))</f>
        <v/>
      </c>
      <c r="J20" s="37" t="n"/>
    </row>
    <row r="21" ht="15" customHeight="1" s="62">
      <c r="A21" s="54" t="n">
        <v>45809</v>
      </c>
      <c r="B21" s="33" t="inlineStr">
        <is>
          <t>June</t>
        </is>
      </c>
      <c r="C21" s="34">
        <f>IF(B21="","","Monthly Rent Charge")</f>
        <v/>
      </c>
      <c r="D21" s="34" t="n"/>
      <c r="E21" s="35">
        <f>IF(C21="Monthly Rent Charge",$D$3,"")</f>
        <v/>
      </c>
      <c r="F21" s="35">
        <f>IF(C21="Monthly Rent Charge",$F$3,"")</f>
        <v/>
      </c>
      <c r="G21" s="41" t="n"/>
      <c r="H21" s="34" t="n"/>
      <c r="I21" s="36">
        <f>IF(A21="","",IF(C21="Payment Received",I20-IFERROR(G21,0),IF(C21="Monthly Rent Charge",I20+IFERROR(E21,0)+IFERROR(F21,0),I20)))</f>
        <v/>
      </c>
      <c r="J21" s="37" t="n"/>
    </row>
    <row r="22" ht="15" customHeight="1" s="62">
      <c r="A22" s="53" t="n">
        <v>45836</v>
      </c>
      <c r="B22" s="33" t="n"/>
      <c r="C22" s="34" t="inlineStr">
        <is>
          <t>Payment Received</t>
        </is>
      </c>
      <c r="D22" s="34" t="n"/>
      <c r="E22" s="35">
        <f>IF(C22="Monthly Rent Charge",$D$3,"")</f>
        <v/>
      </c>
      <c r="F22" s="35">
        <f>IF(C22="Monthly Rent Charge",$F$3,"")</f>
        <v/>
      </c>
      <c r="G22" s="41" t="n">
        <v>3200</v>
      </c>
      <c r="H22" s="39" t="inlineStr">
        <is>
          <t>TFS0RQ4RVA</t>
        </is>
      </c>
      <c r="I22" s="36">
        <f>IF(A22="","",IF(C22="Payment Received",I21-IFERROR(G22,0),IF(C22="Monthly Rent Charge",I21+IFERROR(E22,0)+IFERROR(F22,0),I21)))</f>
        <v/>
      </c>
      <c r="J22" s="37" t="n"/>
    </row>
    <row r="23" ht="15" customHeight="1" s="62">
      <c r="A23" s="54" t="n">
        <v>45839</v>
      </c>
      <c r="B23" s="33" t="inlineStr">
        <is>
          <t>July</t>
        </is>
      </c>
      <c r="C23" s="34">
        <f>IF(B23="","","Monthly Rent Charge")</f>
        <v/>
      </c>
      <c r="D23" s="34" t="n"/>
      <c r="E23" s="35">
        <f>IF(C23="Monthly Rent Charge",$D$3,"")</f>
        <v/>
      </c>
      <c r="F23" s="35">
        <f>IF(C23="Monthly Rent Charge",$F$3,"")</f>
        <v/>
      </c>
      <c r="G23" s="41" t="n"/>
      <c r="H23" s="34" t="n"/>
      <c r="I23" s="36">
        <f>IF(A23="","",IF(C23="Payment Received",I22-IFERROR(G23,0),IF(C23="Monthly Rent Charge",I22+IFERROR(E23,0)+IFERROR(F23,0),I22)))</f>
        <v/>
      </c>
      <c r="J23" s="37" t="n"/>
    </row>
    <row r="24" ht="15" customHeight="1" s="62">
      <c r="A24" s="53" t="n">
        <v>45859</v>
      </c>
      <c r="B24" s="33" t="n"/>
      <c r="C24" s="34" t="inlineStr">
        <is>
          <t>Payment Received</t>
        </is>
      </c>
      <c r="D24" s="34" t="n"/>
      <c r="E24" s="35">
        <f>IF(C24="Monthly Rent Charge",$D$3,"")</f>
        <v/>
      </c>
      <c r="F24" s="35">
        <f>IF(C24="Monthly Rent Charge",$F$3,"")</f>
        <v/>
      </c>
      <c r="G24" s="41" t="n">
        <v>3200</v>
      </c>
      <c r="H24" s="39" t="inlineStr">
        <is>
          <t>TGL7Y7OV6P</t>
        </is>
      </c>
      <c r="I24" s="36">
        <f>IF(A24="","",IF(C24="Payment Received",I23-IFERROR(G24,0),IF(C24="Monthly Rent Charge",I23+IFERROR(E24,0)+IFERROR(F24,0),I23)))</f>
        <v/>
      </c>
      <c r="J24" s="37" t="n"/>
    </row>
    <row r="25" ht="15" customHeight="1" s="62">
      <c r="A25" s="54" t="n">
        <v>45870</v>
      </c>
      <c r="B25" s="33" t="inlineStr">
        <is>
          <t>August</t>
        </is>
      </c>
      <c r="C25" s="34">
        <f>IF(B25="","","Monthly Rent Charge")</f>
        <v/>
      </c>
      <c r="D25" s="34" t="n"/>
      <c r="E25" s="35">
        <f>IF(C25="Monthly Rent Charge",$D$3,"")</f>
        <v/>
      </c>
      <c r="F25" s="35">
        <f>IF(C25="Monthly Rent Charge",$F$3,"")</f>
        <v/>
      </c>
      <c r="G25" s="41" t="n"/>
      <c r="H25" s="34" t="n"/>
      <c r="I25" s="36">
        <f>IF(A25="","",IF(C25="Payment Received",I24-IFERROR(G25,0),IF(C25="Monthly Rent Charge",I24+IFERROR(E25,0)+IFERROR(F25,0),I24)))</f>
        <v/>
      </c>
      <c r="J25" s="37" t="n"/>
    </row>
    <row r="26" ht="15" customHeight="1" s="62">
      <c r="A26" s="53" t="n">
        <v>45884</v>
      </c>
      <c r="B26" s="33" t="n"/>
      <c r="C26" s="34" t="inlineStr">
        <is>
          <t>Payment Received</t>
        </is>
      </c>
      <c r="D26" s="34" t="n"/>
      <c r="E26" s="35">
        <f>IF(C26="Monthly Rent Charge",$D$3,"")</f>
        <v/>
      </c>
      <c r="F26" s="35">
        <f>IF(C26="Monthly Rent Charge",$F$3,"")</f>
        <v/>
      </c>
      <c r="G26" s="41" t="n">
        <v>3200</v>
      </c>
      <c r="H26" s="39" t="inlineStr">
        <is>
          <t>THF0ELQV9Y</t>
        </is>
      </c>
      <c r="I26" s="36">
        <f>IF(A26="","",IF(C26="Payment Received",I25-IFERROR(G26,0),IF(C26="Monthly Rent Charge",I25+IFERROR(E26,0)+IFERROR(F26,0),I25)))</f>
        <v/>
      </c>
      <c r="J26" s="37" t="n"/>
    </row>
    <row r="27" ht="15" customHeight="1" s="62">
      <c r="A27" s="54" t="n">
        <v>45901</v>
      </c>
      <c r="B27" s="33" t="inlineStr">
        <is>
          <t>September</t>
        </is>
      </c>
      <c r="C27" s="34">
        <f>IF(B27="","","Monthly Rent Charge")</f>
        <v/>
      </c>
      <c r="D27" s="34" t="n"/>
      <c r="E27" s="35">
        <f>IF(C27="Monthly Rent Charge",$D$3,"")</f>
        <v/>
      </c>
      <c r="F27" s="35">
        <f>IF(C27="Monthly Rent Charge",$F$3,"")</f>
        <v/>
      </c>
      <c r="G27" s="41" t="n"/>
      <c r="H27" s="34" t="n"/>
      <c r="I27" s="36">
        <f>IF(A27="","",IF(C27="Payment Received",I26-IFERROR(G27,0),IF(C27="Monthly Rent Charge",I26+IFERROR(E27,0)+IFERROR(F27,0),I26)))</f>
        <v/>
      </c>
      <c r="J27" s="37" t="n"/>
    </row>
    <row r="28" ht="15" customHeight="1" s="62">
      <c r="A28" s="54" t="n">
        <v>45931</v>
      </c>
      <c r="B28" s="33" t="inlineStr">
        <is>
          <t>October</t>
        </is>
      </c>
      <c r="C28" s="34">
        <f>IF(B28="","","Monthly Rent Charge")</f>
        <v/>
      </c>
      <c r="D28" s="34" t="n"/>
      <c r="E28" s="35">
        <f>IF(C28="Monthly Rent Charge",$D$3,"")</f>
        <v/>
      </c>
      <c r="F28" s="35">
        <f>IF(C28="Monthly Rent Charge",$F$3,"")</f>
        <v/>
      </c>
      <c r="G28" s="41" t="n"/>
      <c r="H28" s="34" t="n"/>
      <c r="I28" s="36">
        <f>IF(A28="","",IF(C28="Payment Received",I27-IFERROR(G28,0),IF(C28="Monthly Rent Charge",I27+IFERROR(E28,0)+IFERROR(F28,0),I27)))</f>
        <v/>
      </c>
      <c r="J28" s="37" t="n"/>
    </row>
    <row r="29" ht="15" customHeight="1" s="62">
      <c r="A29" s="54" t="n">
        <v>45962</v>
      </c>
      <c r="B29" s="33" t="inlineStr">
        <is>
          <t>November</t>
        </is>
      </c>
      <c r="C29" s="34">
        <f>IF(B29="","","Monthly Rent Charge")</f>
        <v/>
      </c>
      <c r="D29" s="34" t="n"/>
      <c r="E29" s="35">
        <f>IF(C29="Monthly Rent Charge",$D$3,"")</f>
        <v/>
      </c>
      <c r="F29" s="35">
        <f>IF(C29="Monthly Rent Charge",$F$3,"")</f>
        <v/>
      </c>
      <c r="G29" s="41" t="n"/>
      <c r="H29" s="34" t="n"/>
      <c r="I29" s="36">
        <f>IF(A29="","",IF(C29="Payment Received",I28-IFERROR(G29,0),IF(C29="Monthly Rent Charge",I28+IFERROR(E29,0)+IFERROR(F29,0),I28)))</f>
        <v/>
      </c>
      <c r="J29" s="37" t="n"/>
    </row>
    <row r="30" ht="15" customHeight="1" s="62">
      <c r="A30" s="53" t="n">
        <v>45966</v>
      </c>
      <c r="B30" s="33" t="n"/>
      <c r="C30" s="34" t="inlineStr">
        <is>
          <t>Payment Received</t>
        </is>
      </c>
      <c r="D30" s="34" t="n"/>
      <c r="E30" s="35">
        <f>IF(C30="Monthly Rent Charge",$D$3,"")</f>
        <v/>
      </c>
      <c r="F30" s="35">
        <f>IF(C30="Monthly Rent Charge",$F$3,"")</f>
        <v/>
      </c>
      <c r="G30" s="41" t="n">
        <v>1500</v>
      </c>
      <c r="H30" s="39" t="inlineStr">
        <is>
          <t>TK5DC9D8XI</t>
        </is>
      </c>
      <c r="I30" s="36">
        <f>IF(A30="","",IF(C30="Payment Received",I29-IFERROR(G30,0),IF(C30="Monthly Rent Charge",I29+IFERROR(E30,0)+IFERROR(F30,0),I29)))</f>
        <v/>
      </c>
      <c r="J30" s="37" t="n"/>
    </row>
    <row r="31" ht="15" customHeight="1" s="62">
      <c r="A31" s="54" t="n">
        <v>45992</v>
      </c>
      <c r="B31" s="33" t="inlineStr">
        <is>
          <t>December</t>
        </is>
      </c>
      <c r="C31" s="34">
        <f>IF(B31="","","Monthly Rent Charge")</f>
        <v/>
      </c>
      <c r="D31" s="34" t="n"/>
      <c r="E31" s="35">
        <f>IF(C31="Monthly Rent Charge",$D$3,"")</f>
        <v/>
      </c>
      <c r="F31" s="35">
        <f>IF(C31="Monthly Rent Charge",$F$3,"")</f>
        <v/>
      </c>
      <c r="G31" s="41" t="n"/>
      <c r="H31" s="34" t="n"/>
      <c r="I31" s="36">
        <f>IF(A31="","",IF(C31="Payment Received",I30-IFERROR(G31,0),IF(C31="Monthly Rent Charge",I30+IFERROR(E31,0)+IFERROR(F31,0),I30)))</f>
        <v/>
      </c>
      <c r="J31" s="37" t="n"/>
    </row>
    <row r="32" ht="15" customHeight="1" s="62">
      <c r="A32" s="53" t="n">
        <v>45996</v>
      </c>
      <c r="B32" s="33" t="n"/>
      <c r="C32" s="34" t="inlineStr">
        <is>
          <t>Payment Received</t>
        </is>
      </c>
      <c r="D32" s="34" t="n"/>
      <c r="E32" s="35">
        <f>IF(C32="Monthly Rent Charge",$D$3,"")</f>
        <v/>
      </c>
      <c r="F32" s="35">
        <f>IF(C32="Monthly Rent Charge",$F$3,"")</f>
        <v/>
      </c>
      <c r="G32" s="41" t="n">
        <v>3500</v>
      </c>
      <c r="H32" s="39" t="inlineStr">
        <is>
          <t>TL5DC06X48</t>
        </is>
      </c>
      <c r="I32" s="36">
        <f>IF(A32="","",IF(C32="Payment Received",I31-IFERROR(G32,0),IF(C32="Monthly Rent Charge",I31+IFERROR(E32,0)+IFERROR(F32,0),I31)))</f>
        <v/>
      </c>
      <c r="J32" s="37" t="n"/>
    </row>
    <row r="33" ht="15" customHeight="1" s="62">
      <c r="A33" s="54">
        <f>IF(B33="","",DATE(YEAR(TODAY()),MATCH(B33,{"January","February","March","April","May","June","July","August","September","October","November","December"},0),1))</f>
        <v/>
      </c>
      <c r="B33" s="33" t="inlineStr">
        <is>
          <t>January</t>
        </is>
      </c>
      <c r="C33" s="34">
        <f>IF(B33="","","Monthly Rent Charge")</f>
        <v/>
      </c>
      <c r="D33" s="34" t="n"/>
      <c r="E33" s="35">
        <f>IF(C33="Monthly Rent Charge",$D$3,"")</f>
        <v/>
      </c>
      <c r="F33" s="35">
        <f>IF(C33="Monthly Rent Charge",$F$3,"")</f>
        <v/>
      </c>
      <c r="G33" s="41" t="n"/>
      <c r="H33" s="34" t="n"/>
      <c r="I33" s="36">
        <f>IF(A33="","",IF(C33="Payment Received",I32-IFERROR(G33,0),IF(C33="Monthly Rent Charge",I32+IFERROR(E33,0)+IFERROR(F33,0),I32)))</f>
        <v/>
      </c>
      <c r="J33" s="37" t="n"/>
    </row>
    <row r="34" ht="15" customHeight="1" s="62">
      <c r="A34" s="54">
        <f>IF(B34="","",DATE(YEAR(TODAY()),MATCH(B34,{"January","February","March","April","May","June","July","August","September","October","November","December"},0),1))</f>
        <v/>
      </c>
      <c r="B34" s="33" t="inlineStr">
        <is>
          <t>February</t>
        </is>
      </c>
      <c r="C34" s="34">
        <f>IF(B34="","","Monthly Rent Charge")</f>
        <v/>
      </c>
      <c r="D34" s="34" t="n"/>
      <c r="E34" s="35">
        <f>IF(C34="Monthly Rent Charge",$D$3,"")</f>
        <v/>
      </c>
      <c r="F34" s="35">
        <f>IF(C34="Monthly Rent Charge",$F$3,"")</f>
        <v/>
      </c>
      <c r="G34" s="41" t="n"/>
      <c r="H34" s="34" t="n"/>
      <c r="I34" s="36">
        <f>IF(A34="","",IF(C34="Payment Received",I33-IFERROR(G34,0),IF(C34="Monthly Rent Charge",I33+IFERROR(E34,0)+IFERROR(F34,0),I33)))</f>
        <v/>
      </c>
      <c r="J34" s="37" t="n"/>
    </row>
    <row r="35" ht="15" customHeight="1" s="62">
      <c r="A35" s="54">
        <f>IF(B35="","",DATE(YEAR(TODAY()),MATCH(B35,{"January","February","March","April","May","June","July","August","September","October","November","December"},0),1))</f>
        <v/>
      </c>
      <c r="B35" s="33" t="inlineStr">
        <is>
          <t>March</t>
        </is>
      </c>
      <c r="C35" s="34">
        <f>IF(B35="","","Monthly Rent Charge")</f>
        <v/>
      </c>
      <c r="D35" s="34" t="n"/>
      <c r="E35" s="35">
        <f>IF(C35="Monthly Rent Charge",$D$3,"")</f>
        <v/>
      </c>
      <c r="F35" s="35">
        <f>IF(C35="Monthly Rent Charge",$F$3,"")</f>
        <v/>
      </c>
      <c r="G35" s="41" t="n"/>
      <c r="H35" s="34" t="n"/>
      <c r="I35" s="36">
        <f>IF(A35="","",IF(C35="Payment Received",I34-IFERROR(G35,0),IF(C35="Monthly Rent Charge",I34+IFERROR(E35,0)+IFERROR(F35,0),I34)))</f>
        <v/>
      </c>
      <c r="J35" s="37" t="n"/>
    </row>
    <row r="36" ht="15" customHeight="1" s="62">
      <c r="A36" s="53" t="n">
        <v>46090</v>
      </c>
      <c r="B36" s="33" t="n"/>
      <c r="C36" s="34" t="inlineStr">
        <is>
          <t>Payment Received</t>
        </is>
      </c>
      <c r="D36" s="34" t="n"/>
      <c r="E36" s="35">
        <f>IF(C36="Monthly Rent Charge",$D$3,"")</f>
        <v/>
      </c>
      <c r="F36" s="35">
        <f>IF(C36="Monthly Rent Charge",$F$3,"")</f>
        <v/>
      </c>
      <c r="G36" s="41" t="n">
        <v>4600</v>
      </c>
      <c r="H36" s="39" t="inlineStr">
        <is>
          <t>UC9HU8OTKI</t>
        </is>
      </c>
      <c r="I36" s="36">
        <f>IF(A36="","",IF(C36="Payment Received",I35-IFERROR(G36,0),IF(C36="Monthly Rent Charge",I35+IFERROR(E36,0)+IFERROR(F36,0),I35)))</f>
        <v/>
      </c>
      <c r="J36" s="37" t="n"/>
    </row>
    <row r="37" ht="15" customHeight="1" s="62">
      <c r="A37" s="53" t="n">
        <v>46091</v>
      </c>
      <c r="B37" s="33" t="n"/>
      <c r="C37" s="34" t="inlineStr">
        <is>
          <t>Payment Received</t>
        </is>
      </c>
      <c r="D37" s="34" t="n"/>
      <c r="E37" s="35">
        <f>IF(C37="Monthly Rent Charge",$D$3,"")</f>
        <v/>
      </c>
      <c r="F37" s="35">
        <f>IF(C37="Monthly Rent Charge",$F$3,"")</f>
        <v/>
      </c>
      <c r="G37" s="41" t="n">
        <v>9700</v>
      </c>
      <c r="H37" s="39" t="inlineStr">
        <is>
          <t>UCAHU8SG1O</t>
        </is>
      </c>
      <c r="I37" s="36">
        <f>IF(A37="","",IF(C37="Payment Received",I36-IFERROR(G37,0),IF(C37="Monthly Rent Charge",I36+IFERROR(E37,0)+IFERROR(F37,0),I36)))</f>
        <v/>
      </c>
      <c r="J37" s="37" t="n"/>
    </row>
    <row r="38" ht="15" customHeight="1" s="62">
      <c r="A38" s="53" t="n">
        <v>46096</v>
      </c>
      <c r="B38" s="33" t="n"/>
      <c r="C38" s="34" t="inlineStr">
        <is>
          <t>Payment Received</t>
        </is>
      </c>
      <c r="D38" s="34" t="n"/>
      <c r="E38" s="35">
        <f>IF(C38="Monthly Rent Charge",$D$3,"")</f>
        <v/>
      </c>
      <c r="F38" s="35">
        <f>IF(C38="Monthly Rent Charge",$F$3,"")</f>
        <v/>
      </c>
      <c r="G38" s="41" t="n">
        <v>1500</v>
      </c>
      <c r="H38" s="39" t="inlineStr">
        <is>
          <t>UCFHU98C55</t>
        </is>
      </c>
      <c r="I38" s="36">
        <f>IF(A38="","",IF(C38="Payment Received",I37-IFERROR(G38,0),IF(C38="Monthly Rent Charge",I37+IFERROR(E38,0)+IFERROR(F38,0),I37)))</f>
        <v/>
      </c>
      <c r="J38" s="37" t="n"/>
    </row>
    <row r="39" ht="15" customHeight="1" s="62">
      <c r="A39" s="54">
        <f>IF(B39="","",DATE(YEAR(TODAY()),MATCH(B39,{"January","February","March","April","May","June","July","August","September","October","November","December"},0),1))</f>
        <v/>
      </c>
      <c r="B39" s="33" t="inlineStr">
        <is>
          <t>April</t>
        </is>
      </c>
      <c r="C39" s="34">
        <f>IF(B39="","","Monthly Rent Charge")</f>
        <v/>
      </c>
      <c r="D39" s="34" t="n"/>
      <c r="E39" s="35">
        <f>IF(C39="Monthly Rent Charge",$D$3,"")</f>
        <v/>
      </c>
      <c r="F39" s="35">
        <f>IF(C39="Monthly Rent Charge",$F$3,"")</f>
        <v/>
      </c>
      <c r="G39" s="41" t="n"/>
      <c r="H39" s="34" t="n"/>
      <c r="I39" s="36">
        <f>IF(A39="","",IF(C39="Payment Received",I38-IFERROR(G39,0),IF(C39="Monthly Rent Charge",I38+IFERROR(E39,0)+IFERROR(F39,0),I38)))</f>
        <v/>
      </c>
      <c r="J39" s="37" t="n"/>
    </row>
    <row r="40" ht="15" customHeight="1" s="62">
      <c r="A40" s="53" t="n">
        <v>46114</v>
      </c>
      <c r="B40" s="33" t="n"/>
      <c r="C40" s="34" t="inlineStr">
        <is>
          <t>Payment Received</t>
        </is>
      </c>
      <c r="D40" s="34" t="n"/>
      <c r="E40" s="35">
        <f>IF(C40="Monthly Rent Charge",$D$3,"")</f>
        <v/>
      </c>
      <c r="F40" s="35">
        <f>IF(C40="Monthly Rent Charge",$F$3,"")</f>
        <v/>
      </c>
      <c r="G40" s="41" t="n">
        <v>4000</v>
      </c>
      <c r="H40" s="39" t="inlineStr">
        <is>
          <t>UD2HUB3E14</t>
        </is>
      </c>
      <c r="I40" s="36">
        <f>IF(A40="","",IF(C40="Payment Received",I39-IFERROR(G40,0),IF(C40="Monthly Rent Charge",I39+IFERROR(E40,0)+IFERROR(F40,0),I39)))</f>
        <v/>
      </c>
      <c r="J40" s="37" t="n"/>
    </row>
    <row r="41" ht="15" customHeight="1" s="62">
      <c r="A41" s="54">
        <f>IF(B41="","",DATE(YEAR(TODAY()),MATCH(B41,{"January","February","March","April","May","June","July","August","September","October","November","December"},0),1))</f>
        <v/>
      </c>
      <c r="B41" s="33" t="inlineStr">
        <is>
          <t>May</t>
        </is>
      </c>
      <c r="C41" s="34">
        <f>IF(B41="","","Monthly Rent Charge")</f>
        <v/>
      </c>
      <c r="D41" s="34" t="n"/>
      <c r="E41" s="35">
        <f>IF(C41="Monthly Rent Charge",$D$3,"")</f>
        <v/>
      </c>
      <c r="F41" s="35">
        <f>IF(C41="Monthly Rent Charge",$F$3,"")</f>
        <v/>
      </c>
      <c r="G41" s="41" t="n"/>
      <c r="H41" s="34" t="n"/>
      <c r="I41" s="36">
        <f>IF(AND(A41="",C41=""),"",IF(C41="Payment Received",I40-IFERROR(G41,0),IF(C41="Monthly Rent Charge",I40+IFERROR(E41,0)+IFERROR(F41,0),I40)))</f>
        <v/>
      </c>
      <c r="J41" s="37" t="n"/>
    </row>
    <row r="42" ht="15" customHeight="1" s="62">
      <c r="A42" s="54" t="n">
        <v>46150</v>
      </c>
      <c r="B42" s="33" t="n"/>
      <c r="C42" s="34" t="inlineStr">
        <is>
          <t>Payment Received</t>
        </is>
      </c>
      <c r="D42" s="34" t="n"/>
      <c r="E42" s="35">
        <f>IF(C42="Monthly Rent Charge",$D$3,"")</f>
        <v/>
      </c>
      <c r="F42" s="35">
        <f>IF(C42="Monthly Rent Charge",$F$3,"")</f>
        <v/>
      </c>
      <c r="G42" s="41" t="n">
        <v>2200</v>
      </c>
      <c r="H42" s="34" t="inlineStr">
        <is>
          <t>UE8HU3B6A9</t>
        </is>
      </c>
      <c r="I42" s="36">
        <f>IF(AND(A42="",C42=""),"",IF(C42="Payment Received",I41-IFERROR(G42,0),IF(C42="Monthly Rent Charge",I41+IFERROR(E42,0)+IFERROR(F42,0),I41)))</f>
        <v/>
      </c>
      <c r="J42" s="37" t="n"/>
    </row>
    <row r="43" ht="15" customHeight="1" s="62">
      <c r="A43" s="54">
        <f>IF(B43="","",DATE(YEAR(TODAY()),MATCH(B43,{"January","February","March","April","May","June","July","August","September","October","November","December"},0),1))</f>
        <v/>
      </c>
      <c r="B43" s="33" t="inlineStr">
        <is>
          <t>June</t>
        </is>
      </c>
      <c r="C43" s="34">
        <f>IF(B43="","","Monthly Rent Charge")</f>
        <v/>
      </c>
      <c r="D43" s="34" t="n"/>
      <c r="E43" s="35">
        <f>IF(C43="Monthly Rent Charge",$D$3,"")</f>
        <v/>
      </c>
      <c r="F43" s="35">
        <f>IF(C43="Monthly Rent Charge",$F$3,"")</f>
        <v/>
      </c>
      <c r="G43" s="41" t="n"/>
      <c r="H43" s="34" t="n"/>
      <c r="I43" s="36">
        <f>IF(AND(A43="",C43=""),"",IF(C43="Payment Received",I42-IFERROR(G43,0),IF(C43="Monthly Rent Charge",I42+IFERROR(E43,0)+IFERROR(F43,0),I42)))</f>
        <v/>
      </c>
      <c r="J43" s="37" t="n"/>
    </row>
    <row r="44" ht="15" customHeight="1" s="62">
      <c r="A44" s="54" t="n">
        <v>46199</v>
      </c>
      <c r="B44" s="33" t="n"/>
      <c r="C44" s="34" t="inlineStr">
        <is>
          <t>Payment Received</t>
        </is>
      </c>
      <c r="D44" s="34" t="n"/>
      <c r="E44" s="35">
        <f>IF(C44="Monthly Rent Charge",$D$3,"")</f>
        <v/>
      </c>
      <c r="F44" s="35">
        <f>IF(C44="Monthly Rent Charge",$F$3,"")</f>
        <v/>
      </c>
      <c r="G44" s="41" t="n">
        <v>2200</v>
      </c>
      <c r="H44" s="34" t="inlineStr">
        <is>
          <t>UFQHU8V90K</t>
        </is>
      </c>
      <c r="I44" s="36">
        <f>IF(AND(A44="",C44=""),"",IF(C44="Payment Received",I43-IFERROR(G44,0),IF(C44="Monthly Rent Charge",I43+IFERROR(E44,0)+IFERROR(F44,0),I43)))</f>
        <v/>
      </c>
      <c r="J44" s="37" t="n"/>
    </row>
    <row r="45" ht="15" customHeight="1" s="62">
      <c r="A45" s="54">
        <f>IF(B45="","",DATE(YEAR(TODAY()),MATCH(B45,{"January","February","March","April","May","June","July","August","September","October","November","December"},0),1))</f>
        <v/>
      </c>
      <c r="B45" s="33" t="inlineStr">
        <is>
          <t>July</t>
        </is>
      </c>
      <c r="C45" s="34">
        <f>IF(B45="","","Monthly Rent Charge")</f>
        <v/>
      </c>
      <c r="D45" s="34" t="n"/>
      <c r="E45" s="35">
        <f>IF(C45="Monthly Rent Charge",$D$3,"")</f>
        <v/>
      </c>
      <c r="F45" s="35">
        <f>IF(C45="Monthly Rent Charge",$F$3,"")</f>
        <v/>
      </c>
      <c r="G45" s="41" t="n"/>
      <c r="H45" s="34" t="n"/>
      <c r="I45" s="36">
        <f>IF(AND(A45="",C45=""),"",IF(C45="Payment Received",I44-IFERROR(G45,0),IF(C45="Monthly Rent Charge",I44+IFERROR(E45,0)+IFERROR(F45,0),I44)))</f>
        <v/>
      </c>
      <c r="J45" s="37" t="n"/>
    </row>
    <row r="46" ht="15" customHeight="1" s="62">
      <c r="A46" s="54" t="n">
        <v>46234</v>
      </c>
      <c r="B46" s="33" t="n"/>
      <c r="C46" s="34" t="inlineStr">
        <is>
          <t>Payment Received</t>
        </is>
      </c>
      <c r="D46" s="34" t="n"/>
      <c r="E46" s="35">
        <f>IF(C46="Monthly Rent Charge",$D$3,"")</f>
        <v/>
      </c>
      <c r="F46" s="35">
        <f>IF(C46="Monthly Rent Charge",$F$3,"")</f>
        <v/>
      </c>
      <c r="G46" s="41" t="n">
        <v>3200</v>
      </c>
      <c r="H46" s="34" t="inlineStr">
        <is>
          <t>UGVHU0VMOS</t>
        </is>
      </c>
      <c r="I46" s="36">
        <f>IF(AND(A46="",C46=""),"",IF(C46="Payment Received",I45-IFERROR(G46,0),IF(C46="Monthly Rent Charge",I45+IFERROR(E46,0)+IFERROR(F46,0),IFERROR(I45,0))))</f>
        <v/>
      </c>
      <c r="J46" s="37" t="n"/>
    </row>
    <row r="47" ht="15" customHeight="1" s="62">
      <c r="A47" s="54">
        <f>IF(B47="","",DATE(YEAR(TODAY()),MATCH(B47,{"January","February","March","April","May","June","July","August","September","October","November","December"},0),1))</f>
        <v/>
      </c>
      <c r="B47" s="33" t="inlineStr">
        <is>
          <t>August</t>
        </is>
      </c>
      <c r="C47" s="34">
        <f>IF(B47="","","Monthly Rent Charge")</f>
        <v/>
      </c>
      <c r="D47" s="34" t="n"/>
      <c r="E47" s="35">
        <f>IF(C47="Monthly Rent Charge",$D$3,"")</f>
        <v/>
      </c>
      <c r="F47" s="35">
        <f>IF(C47="Monthly Rent Charge",$F$3,"")</f>
        <v/>
      </c>
      <c r="G47" s="41" t="n"/>
      <c r="H47" s="34" t="n"/>
      <c r="I47" s="36">
        <f>IF(AND(A47="",C47=""),"",IF(C47="Payment Received",I46-IFERROR(G47,0),IF(C47="Monthly Rent Charge",I46+IFERROR(E47,0)+IFERROR(F47,0),IFERROR(I46,0))))</f>
        <v/>
      </c>
      <c r="J47" s="37" t="n"/>
    </row>
    <row r="48" ht="15" customHeight="1" s="62">
      <c r="A48" s="54" t="n">
        <v>46264</v>
      </c>
      <c r="B48" s="33" t="n"/>
      <c r="C48" s="34" t="inlineStr">
        <is>
          <t>Payment Received</t>
        </is>
      </c>
      <c r="D48" s="34" t="n"/>
      <c r="E48" s="35">
        <f>IF(C48="Monthly Rent Charge",$D$3,"")</f>
        <v/>
      </c>
      <c r="F48" s="35">
        <f>IF(C48="Monthly Rent Charge",$F$3,"")</f>
        <v/>
      </c>
      <c r="G48" s="41" t="n">
        <v>4200</v>
      </c>
      <c r="H48" s="34" t="inlineStr">
        <is>
          <t>UHUHUETOV</t>
        </is>
      </c>
      <c r="I48" s="36">
        <f>IF(AND(A48="",C48=""),"",IF(C48="Payment Received",I47-IFERROR(G48,0),IF(C48="Monthly Rent Charge",I47+IFERROR(E48,0)+IFERROR(F48,0),IFERROR(I47,0))))</f>
        <v/>
      </c>
      <c r="J48" s="37" t="n"/>
    </row>
    <row r="49" ht="15" customHeight="1" s="62">
      <c r="A49" s="54">
        <f>IF(B49="","",DATE(YEAR(TODAY()),MATCH(B49,{"January","February","March","April","May","June","July","August","September","October","November","December"},0),1))</f>
        <v/>
      </c>
      <c r="B49" s="33" t="n"/>
      <c r="C49" s="34">
        <f>IF(B49="","","Monthly Rent Charge")</f>
        <v/>
      </c>
      <c r="D49" s="34" t="n"/>
      <c r="E49" s="35">
        <f>IF(C49="Monthly Rent Charge",$D$3,"")</f>
        <v/>
      </c>
      <c r="F49" s="35">
        <f>IF(C49="Monthly Rent Charge",$F$3,"")</f>
        <v/>
      </c>
      <c r="G49" s="41" t="n"/>
      <c r="H49" s="34" t="n"/>
      <c r="I49" s="36">
        <f>IF(AND(A49="",C49=""),"",IF(C49="Payment Received",I48-IFERROR(G49,0),IF(C49="Monthly Rent Charge",I48+IFERROR(E49,0)+IFERROR(F49,0),IFERROR(I48,0))))</f>
        <v/>
      </c>
      <c r="J49" s="37" t="n"/>
    </row>
    <row r="50" ht="15" customHeight="1" s="62">
      <c r="A50" s="54">
        <f>IF(B50="","",DATE(YEAR(TODAY()),MATCH(B50,{"January","February","March","April","May","June","July","August","September","October","November","December"},0),1))</f>
        <v/>
      </c>
      <c r="B50" s="33" t="n"/>
      <c r="C50" s="34">
        <f>IF(B50="","","Monthly Rent Charge")</f>
        <v/>
      </c>
      <c r="D50" s="34" t="n"/>
      <c r="E50" s="35">
        <f>IF(C50="Monthly Rent Charge",$D$3,"")</f>
        <v/>
      </c>
      <c r="F50" s="35">
        <f>IF(C50="Monthly Rent Charge",$F$3,"")</f>
        <v/>
      </c>
      <c r="G50" s="41" t="n"/>
      <c r="H50" s="34" t="n"/>
      <c r="I50" s="36">
        <f>IF(AND(A50="",C50=""),"",IF(C50="Payment Received",I49-IFERROR(G50,0),IF(C50="Monthly Rent Charge",I49+IFERROR(E50,0)+IFERROR(F50,0),IFERROR(I49,0))))</f>
        <v/>
      </c>
      <c r="J50" s="37" t="n"/>
    </row>
    <row r="51" ht="15" customHeight="1" s="62">
      <c r="A51" s="54">
        <f>IF(B51="","",DATE(YEAR(TODAY()),MATCH(B51,{"January","February","March","April","May","June","July","August","September","October","November","December"},0),1))</f>
        <v/>
      </c>
      <c r="B51" s="33" t="n"/>
      <c r="C51" s="34">
        <f>IF(B51="","","Monthly Rent Charge")</f>
        <v/>
      </c>
      <c r="D51" s="34" t="n"/>
      <c r="E51" s="35">
        <f>IF(C51="Monthly Rent Charge",$D$3,"")</f>
        <v/>
      </c>
      <c r="F51" s="35">
        <f>IF(C51="Monthly Rent Charge",$F$3,"")</f>
        <v/>
      </c>
      <c r="G51" s="41" t="n"/>
      <c r="H51" s="34" t="n"/>
      <c r="I51" s="36">
        <f>IF(AND(A51="",C51=""),"",IF(C51="Payment Received",I50-IFERROR(G51,0),IF(C51="Monthly Rent Charge",I50+IFERROR(E51,0)+IFERROR(F51,0),IFERROR(I50,0))))</f>
        <v/>
      </c>
      <c r="J51" s="37" t="n"/>
    </row>
    <row r="52" ht="15" customHeight="1" s="62">
      <c r="A52" s="54">
        <f>IF(B52="","",DATE(YEAR(TODAY()),MATCH(B52,{"January","February","March","April","May","June","July","August","September","October","November","December"},0),1))</f>
        <v/>
      </c>
      <c r="B52" s="33" t="n"/>
      <c r="C52" s="34">
        <f>IF(B52="","","Monthly Rent Charge")</f>
        <v/>
      </c>
      <c r="D52" s="34" t="n"/>
      <c r="E52" s="35">
        <f>IF(C52="Monthly Rent Charge",$D$3,"")</f>
        <v/>
      </c>
      <c r="F52" s="35">
        <f>IF(C52="Monthly Rent Charge",$F$3,"")</f>
        <v/>
      </c>
      <c r="G52" s="41" t="n"/>
      <c r="H52" s="34" t="n"/>
      <c r="I52" s="36">
        <f>IF(AND(A52="",C52=""),"",IF(C52="Payment Received",I51-IFERROR(G52,0),IF(C52="Monthly Rent Charge",I51+IFERROR(E52,0)+IFERROR(F52,0),IFERROR(I51,0))))</f>
        <v/>
      </c>
      <c r="J52" s="37" t="n"/>
    </row>
    <row r="53" ht="15" customHeight="1" s="62">
      <c r="A53" s="54">
        <f>IF(B53="","",DATE(YEAR(TODAY()),MATCH(B53,{"January","February","March","April","May","June","July","August","September","October","November","December"},0),1))</f>
        <v/>
      </c>
      <c r="B53" s="33" t="n"/>
      <c r="C53" s="34">
        <f>IF(B53="","","Monthly Rent Charge")</f>
        <v/>
      </c>
      <c r="D53" s="34" t="n"/>
      <c r="E53" s="35">
        <f>IF(C53="Monthly Rent Charge",$D$3,"")</f>
        <v/>
      </c>
      <c r="F53" s="35">
        <f>IF(C53="Monthly Rent Charge",$F$3,"")</f>
        <v/>
      </c>
      <c r="G53" s="41" t="n"/>
      <c r="H53" s="34" t="n"/>
      <c r="I53" s="36">
        <f>IF(AND(A53="",C53=""),"",IF(C53="Payment Received",I52-IFERROR(G53,0),IF(C53="Monthly Rent Charge",I52+IFERROR(E53,0)+IFERROR(F53,0),IFERROR(I52,0))))</f>
        <v/>
      </c>
      <c r="J53" s="37" t="n"/>
    </row>
    <row r="54" ht="15" customHeight="1" s="62">
      <c r="A54" s="54">
        <f>IF(B54="","",DATE(YEAR(TODAY()),MATCH(B54,{"January","February","March","April","May","June","July","August","September","October","November","December"},0),1))</f>
        <v/>
      </c>
      <c r="B54" s="33" t="n"/>
      <c r="C54" s="34">
        <f>IF(B54="","","Monthly Rent Charge")</f>
        <v/>
      </c>
      <c r="D54" s="34" t="n"/>
      <c r="E54" s="35">
        <f>IF(C54="Monthly Rent Charge",$D$3,"")</f>
        <v/>
      </c>
      <c r="F54" s="35">
        <f>IF(C54="Monthly Rent Charge",$F$3,"")</f>
        <v/>
      </c>
      <c r="G54" s="41" t="n"/>
      <c r="H54" s="34" t="n"/>
      <c r="I54" s="36">
        <f>IF(AND(A54="",C54=""),"",IF(C54="Payment Received",I53-IFERROR(G54,0),IF(C54="Monthly Rent Charge",I53+IFERROR(E54,0)+IFERROR(F54,0),IFERROR(I53,0))))</f>
        <v/>
      </c>
      <c r="J54" s="37" t="n"/>
    </row>
    <row r="55" ht="15" customHeight="1" s="62">
      <c r="A55" s="54">
        <f>IF(B55="","",DATE(YEAR(TODAY()),MATCH(B55,{"January","February","March","April","May","June","July","August","September","October","November","December"},0),1))</f>
        <v/>
      </c>
      <c r="B55" s="33" t="n"/>
      <c r="C55" s="34">
        <f>IF(B55="","","Monthly Rent Charge")</f>
        <v/>
      </c>
      <c r="D55" s="34" t="n"/>
      <c r="E55" s="35">
        <f>IF(C55="Monthly Rent Charge",$D$3,"")</f>
        <v/>
      </c>
      <c r="F55" s="35">
        <f>IF(C55="Monthly Rent Charge",$F$3,"")</f>
        <v/>
      </c>
      <c r="G55" s="41" t="n"/>
      <c r="H55" s="34" t="n"/>
      <c r="I55" s="36">
        <f>IF(AND(A55="",C55=""),"",IF(C55="Payment Received",I54-IFERROR(G55,0),IF(C55="Monthly Rent Charge",I54+IFERROR(E55,0)+IFERROR(F55,0),IFERROR(I54,0))))</f>
        <v/>
      </c>
      <c r="J55" s="37" t="n"/>
    </row>
    <row r="56" ht="15" customHeight="1" s="62">
      <c r="A56" s="54">
        <f>IF(B56="","",DATE(YEAR(TODAY()),MATCH(B56,{"January","February","March","April","May","June","July","August","September","October","November","December"},0),1))</f>
        <v/>
      </c>
      <c r="B56" s="33" t="n"/>
      <c r="C56" s="34">
        <f>IF(B56="","","Monthly Rent Charge")</f>
        <v/>
      </c>
      <c r="D56" s="34" t="n"/>
      <c r="E56" s="35">
        <f>IF(C56="Monthly Rent Charge",$D$3,"")</f>
        <v/>
      </c>
      <c r="F56" s="35">
        <f>IF(C56="Monthly Rent Charge",$F$3,"")</f>
        <v/>
      </c>
      <c r="G56" s="41" t="n"/>
      <c r="H56" s="34" t="n"/>
      <c r="I56" s="36">
        <f>IF(AND(A56="",C56=""),"",IF(C56="Payment Received",I55-IFERROR(G56,0),IF(C56="Monthly Rent Charge",I55+IFERROR(E56,0)+IFERROR(F56,0),IFERROR(I55,0))))</f>
        <v/>
      </c>
      <c r="J56" s="37" t="n"/>
    </row>
    <row r="57" ht="15" customHeight="1" s="62">
      <c r="A57" s="54">
        <f>IF(B57="","",DATE(YEAR(TODAY()),MATCH(B57,{"January","February","March","April","May","June","July","August","September","October","November","December"},0),1))</f>
        <v/>
      </c>
      <c r="B57" s="33" t="n"/>
      <c r="C57" s="34">
        <f>IF(B57="","","Monthly Rent Charge")</f>
        <v/>
      </c>
      <c r="D57" s="34" t="n"/>
      <c r="E57" s="35">
        <f>IF(C57="Monthly Rent Charge",$D$3,"")</f>
        <v/>
      </c>
      <c r="F57" s="35">
        <f>IF(C57="Monthly Rent Charge",$F$3,"")</f>
        <v/>
      </c>
      <c r="G57" s="41" t="n"/>
      <c r="H57" s="34" t="n"/>
      <c r="I57" s="36">
        <f>IF(AND(A57="",C57=""),"",IF(C57="Payment Received",I56-IFERROR(G57,0),IF(C57="Monthly Rent Charge",I56+IFERROR(E57,0)+IFERROR(F57,0),IFERROR(I56,0))))</f>
        <v/>
      </c>
      <c r="J57" s="37" t="n"/>
    </row>
    <row r="58" ht="15" customHeight="1" s="62">
      <c r="A58" s="54">
        <f>IF(B58="","",DATE(YEAR(TODAY()),MATCH(B58,{"January","February","March","April","May","June","July","August","September","October","November","December"},0),1))</f>
        <v/>
      </c>
      <c r="B58" s="33" t="n"/>
      <c r="C58" s="34">
        <f>IF(B58="","","Monthly Rent Charge")</f>
        <v/>
      </c>
      <c r="D58" s="34" t="n"/>
      <c r="E58" s="35">
        <f>IF(C58="Monthly Rent Charge",$D$3,"")</f>
        <v/>
      </c>
      <c r="F58" s="35">
        <f>IF(C58="Monthly Rent Charge",$F$3,"")</f>
        <v/>
      </c>
      <c r="G58" s="41" t="n"/>
      <c r="H58" s="34" t="n"/>
      <c r="I58" s="36">
        <f>IF(AND(A58="",C58=""),"",IF(C58="Payment Received",I57-IFERROR(G58,0),IF(C58="Monthly Rent Charge",I57+IFERROR(E58,0)+IFERROR(F58,0),IFERROR(I57,0))))</f>
        <v/>
      </c>
      <c r="J58" s="37" t="n"/>
    </row>
    <row r="59" ht="15" customHeight="1" s="62">
      <c r="A59" s="54">
        <f>IF(B59="","",DATE(YEAR(TODAY()),MATCH(B59,{"January","February","March","April","May","June","July","August","September","October","November","December"},0),1))</f>
        <v/>
      </c>
      <c r="B59" s="33" t="n"/>
      <c r="C59" s="34">
        <f>IF(B59="","","Monthly Rent Charge")</f>
        <v/>
      </c>
      <c r="D59" s="34" t="n"/>
      <c r="E59" s="35">
        <f>IF(C59="Monthly Rent Charge",$D$3,"")</f>
        <v/>
      </c>
      <c r="F59" s="35">
        <f>IF(C59="Monthly Rent Charge",$F$3,"")</f>
        <v/>
      </c>
      <c r="G59" s="41" t="n"/>
      <c r="H59" s="34" t="n"/>
      <c r="I59" s="36">
        <f>IF(AND(A59="",C59=""),"",IF(C59="Payment Received",I58-IFERROR(G59,0),IF(C59="Monthly Rent Charge",I58+IFERROR(E59,0)+IFERROR(F59,0),IFERROR(I58,0))))</f>
        <v/>
      </c>
      <c r="J59" s="37" t="n"/>
    </row>
    <row r="60" ht="15" customHeight="1" s="62">
      <c r="A60" s="54">
        <f>IF(B60="","",DATE(YEAR(TODAY()),MATCH(B60,{"January","February","March","April","May","June","July","August","September","October","November","December"},0),1))</f>
        <v/>
      </c>
      <c r="B60" s="33" t="n"/>
      <c r="C60" s="34">
        <f>IF(B60="","","Monthly Rent Charge")</f>
        <v/>
      </c>
      <c r="D60" s="34" t="n"/>
      <c r="E60" s="35">
        <f>IF(C60="Monthly Rent Charge",$D$3,"")</f>
        <v/>
      </c>
      <c r="F60" s="35">
        <f>IF(C60="Monthly Rent Charge",$F$3,"")</f>
        <v/>
      </c>
      <c r="G60" s="41" t="n"/>
      <c r="H60" s="34" t="n"/>
      <c r="I60" s="36">
        <f>IF(AND(A60="",C60=""),"",IF(C60="Payment Received",I59-IFERROR(G60,0),IF(C60="Monthly Rent Charge",I59+IFERROR(E60,0)+IFERROR(F60,0),IFERROR(I59,0))))</f>
        <v/>
      </c>
      <c r="J60" s="37" t="n"/>
    </row>
    <row r="61" ht="15" customHeight="1" s="62">
      <c r="A61" s="54" t="n"/>
      <c r="B61" s="33" t="n"/>
      <c r="C61" s="34" t="n"/>
      <c r="D61" s="34" t="n"/>
      <c r="E61" s="35" t="n"/>
      <c r="F61" s="35" t="n"/>
      <c r="G61" s="41" t="n"/>
      <c r="H61" s="34" t="n"/>
      <c r="I61" s="36" t="n"/>
      <c r="J61" s="37" t="n"/>
    </row>
    <row r="62" ht="15" customHeight="1" s="62">
      <c r="A62" s="54" t="n"/>
      <c r="B62" s="33" t="n"/>
      <c r="C62" s="34" t="n"/>
      <c r="D62" s="34" t="n"/>
      <c r="E62" s="35" t="n"/>
      <c r="F62" s="35" t="n"/>
      <c r="G62" s="41" t="n"/>
      <c r="H62" s="34" t="n"/>
      <c r="I62" s="36" t="n"/>
      <c r="J62" s="37" t="n"/>
    </row>
    <row r="63" ht="15" customHeight="1" s="62">
      <c r="A63" s="54" t="n"/>
      <c r="B63" s="33" t="n"/>
      <c r="C63" s="34" t="n"/>
      <c r="D63" s="34" t="n"/>
      <c r="E63" s="35" t="n"/>
      <c r="F63" s="35" t="n"/>
      <c r="G63" s="41" t="n"/>
      <c r="H63" s="34" t="n"/>
      <c r="I63" s="36" t="n"/>
      <c r="J63" s="37" t="n"/>
    </row>
    <row r="64" ht="15" customHeight="1" s="62">
      <c r="A64" s="54" t="n"/>
      <c r="B64" s="33" t="n"/>
      <c r="C64" s="34" t="n"/>
      <c r="D64" s="34" t="n"/>
      <c r="E64" s="35" t="n"/>
      <c r="F64" s="35" t="n"/>
      <c r="G64" s="41" t="n"/>
      <c r="H64" s="34" t="n"/>
      <c r="I64" s="36" t="n"/>
      <c r="J64" s="37" t="n"/>
    </row>
    <row r="65" ht="15" customHeight="1" s="62">
      <c r="A65" s="54" t="n"/>
      <c r="B65" s="33" t="n"/>
      <c r="C65" s="34" t="n"/>
      <c r="D65" s="34" t="n"/>
      <c r="E65" s="35" t="n"/>
      <c r="F65" s="35" t="n"/>
      <c r="G65" s="41" t="n"/>
      <c r="H65" s="34" t="n"/>
      <c r="I65" s="36" t="n"/>
      <c r="J65" s="37" t="n"/>
    </row>
    <row r="66" ht="15" customHeight="1" s="62">
      <c r="A66" s="54" t="n"/>
      <c r="B66" s="33" t="n"/>
      <c r="C66" s="34" t="n"/>
      <c r="D66" s="34" t="n"/>
      <c r="E66" s="35" t="n"/>
      <c r="F66" s="35" t="n"/>
      <c r="G66" s="41" t="n"/>
      <c r="H66" s="34" t="n"/>
      <c r="I66" s="36" t="n"/>
      <c r="J66" s="37" t="n"/>
    </row>
    <row r="67" ht="15" customHeight="1" s="62">
      <c r="A67" s="54" t="n"/>
      <c r="B67" s="33" t="n"/>
      <c r="C67" s="34" t="n"/>
      <c r="D67" s="34" t="n"/>
      <c r="E67" s="35" t="n"/>
      <c r="F67" s="35" t="n"/>
      <c r="G67" s="41" t="n"/>
      <c r="H67" s="34" t="n"/>
      <c r="I67" s="36" t="n"/>
      <c r="J67" s="37" t="n"/>
    </row>
    <row r="68" ht="15" customHeight="1" s="62">
      <c r="A68" s="54" t="n"/>
      <c r="B68" s="33" t="n"/>
      <c r="C68" s="34" t="n"/>
      <c r="D68" s="34" t="n"/>
      <c r="E68" s="35" t="n"/>
      <c r="F68" s="35" t="n"/>
      <c r="G68" s="41" t="n"/>
      <c r="H68" s="34" t="n"/>
      <c r="I68" s="36" t="n"/>
      <c r="J68" s="37" t="n"/>
    </row>
    <row r="69" ht="15" customHeight="1" s="62">
      <c r="A69" s="54" t="n"/>
      <c r="B69" s="33" t="n"/>
      <c r="C69" s="34" t="n"/>
      <c r="D69" s="34" t="n"/>
      <c r="E69" s="35" t="n"/>
      <c r="F69" s="35" t="n"/>
      <c r="G69" s="41" t="n"/>
      <c r="H69" s="34" t="n"/>
      <c r="I69" s="36" t="n"/>
      <c r="J69" s="37" t="n"/>
    </row>
    <row r="70" ht="15" customHeight="1" s="62">
      <c r="A70" s="54" t="n"/>
      <c r="B70" s="33" t="n"/>
      <c r="C70" s="34" t="n"/>
      <c r="D70" s="34" t="n"/>
      <c r="E70" s="35" t="n"/>
      <c r="F70" s="35" t="n"/>
      <c r="G70" s="41" t="n"/>
      <c r="H70" s="34" t="n"/>
      <c r="I70" s="36" t="n"/>
      <c r="J70" s="37" t="n"/>
    </row>
    <row r="71" ht="15" customHeight="1" s="62">
      <c r="A71" s="54" t="n"/>
      <c r="B71" s="33" t="n"/>
      <c r="C71" s="34" t="n"/>
      <c r="D71" s="34" t="n"/>
      <c r="E71" s="35" t="n"/>
      <c r="F71" s="35" t="n"/>
      <c r="G71" s="41" t="n"/>
      <c r="H71" s="34" t="n"/>
      <c r="I71" s="36" t="n"/>
      <c r="J71" s="37" t="n"/>
    </row>
    <row r="72" ht="15" customHeight="1" s="62">
      <c r="A72" s="54" t="n"/>
      <c r="B72" s="33" t="n"/>
      <c r="C72" s="34" t="n"/>
      <c r="D72" s="34" t="n"/>
      <c r="E72" s="35" t="n"/>
      <c r="F72" s="35" t="n"/>
      <c r="G72" s="41" t="n"/>
      <c r="H72" s="34" t="n"/>
      <c r="I72" s="36" t="n"/>
      <c r="J72" s="37" t="n"/>
    </row>
    <row r="73" ht="15" customHeight="1" s="62">
      <c r="A73" s="54" t="n"/>
      <c r="B73" s="33" t="n"/>
      <c r="C73" s="34" t="n"/>
      <c r="D73" s="34" t="n"/>
      <c r="E73" s="35" t="n"/>
      <c r="F73" s="35" t="n"/>
      <c r="G73" s="41" t="n"/>
      <c r="H73" s="34" t="n"/>
      <c r="I73" s="36" t="n"/>
      <c r="J73" s="37" t="n"/>
    </row>
    <row r="74" ht="15" customHeight="1" s="62">
      <c r="A74" s="54" t="n"/>
      <c r="B74" s="33" t="n"/>
      <c r="C74" s="34" t="n"/>
      <c r="D74" s="34" t="n"/>
      <c r="E74" s="35" t="n"/>
      <c r="F74" s="35" t="n"/>
      <c r="G74" s="41" t="n"/>
      <c r="H74" s="34" t="n"/>
      <c r="I74" s="36" t="n"/>
      <c r="J74" s="37" t="n"/>
    </row>
    <row r="75" ht="15" customHeight="1" s="62">
      <c r="A75" s="54" t="n"/>
      <c r="B75" s="33" t="n"/>
      <c r="C75" s="34" t="n"/>
      <c r="D75" s="34" t="n"/>
      <c r="E75" s="35" t="n"/>
      <c r="F75" s="35" t="n"/>
      <c r="G75" s="41" t="n"/>
      <c r="H75" s="34" t="n"/>
      <c r="I75" s="36" t="n"/>
      <c r="J75" s="37" t="n"/>
    </row>
    <row r="76" ht="15" customHeight="1" s="62">
      <c r="A76" s="54" t="n"/>
      <c r="B76" s="33" t="n"/>
      <c r="C76" s="34" t="n"/>
      <c r="D76" s="34" t="n"/>
      <c r="E76" s="35" t="n"/>
      <c r="F76" s="35" t="n"/>
      <c r="G76" s="41" t="n"/>
      <c r="H76" s="34" t="n"/>
      <c r="I76" s="36" t="n"/>
      <c r="J76" s="37" t="n"/>
    </row>
    <row r="77" ht="15" customHeight="1" s="62">
      <c r="A77" s="54" t="n"/>
      <c r="B77" s="33" t="n"/>
      <c r="C77" s="34" t="n"/>
      <c r="D77" s="34" t="n"/>
      <c r="E77" s="35" t="n"/>
      <c r="F77" s="35" t="n"/>
      <c r="G77" s="41" t="n"/>
      <c r="H77" s="34" t="n"/>
      <c r="I77" s="36" t="n"/>
      <c r="J77" s="37" t="n"/>
    </row>
    <row r="78" ht="15" customHeight="1" s="62">
      <c r="A78" s="54" t="n"/>
      <c r="B78" s="33" t="n"/>
      <c r="C78" s="34" t="n"/>
      <c r="D78" s="34" t="n"/>
      <c r="E78" s="35" t="n"/>
      <c r="F78" s="35" t="n"/>
      <c r="G78" s="41" t="n"/>
      <c r="H78" s="34" t="n"/>
      <c r="I78" s="36" t="n"/>
      <c r="J78" s="37" t="n"/>
    </row>
    <row r="79" ht="15" customHeight="1" s="62">
      <c r="A79" s="54" t="n"/>
      <c r="B79" s="33" t="n"/>
      <c r="C79" s="34" t="n"/>
      <c r="D79" s="34" t="n"/>
      <c r="E79" s="35" t="n"/>
      <c r="F79" s="35" t="n"/>
      <c r="G79" s="41" t="n"/>
      <c r="H79" s="34" t="n"/>
      <c r="I79" s="36" t="n"/>
      <c r="J79" s="37" t="n"/>
    </row>
    <row r="80" ht="15" customHeight="1" s="62">
      <c r="A80" s="54" t="n"/>
      <c r="B80" s="33" t="n"/>
      <c r="C80" s="34" t="n"/>
      <c r="D80" s="34" t="n"/>
      <c r="E80" s="35" t="n"/>
      <c r="F80" s="35" t="n"/>
      <c r="G80" s="41" t="n"/>
      <c r="H80" s="34" t="n"/>
      <c r="I80" s="36" t="n"/>
      <c r="J80" s="37" t="n"/>
    </row>
    <row r="81" ht="15" customHeight="1" s="62">
      <c r="A81" s="54" t="n"/>
      <c r="B81" s="33" t="n"/>
      <c r="C81" s="34" t="n"/>
      <c r="D81" s="34" t="n"/>
      <c r="E81" s="35" t="n"/>
      <c r="F81" s="35" t="n"/>
      <c r="G81" s="41" t="n"/>
      <c r="H81" s="34" t="n"/>
      <c r="I81" s="36" t="n"/>
      <c r="J81" s="37" t="n"/>
    </row>
    <row r="82" ht="15" customHeight="1" s="62">
      <c r="A82" s="54" t="n"/>
      <c r="B82" s="33" t="n"/>
      <c r="C82" s="34" t="n"/>
      <c r="D82" s="34" t="n"/>
      <c r="E82" s="35" t="n"/>
      <c r="F82" s="35" t="n"/>
      <c r="G82" s="41" t="n"/>
      <c r="H82" s="34" t="n"/>
      <c r="I82" s="36" t="n"/>
      <c r="J82" s="37" t="n"/>
    </row>
    <row r="83" ht="15" customHeight="1" s="62">
      <c r="A83" s="54" t="n"/>
      <c r="B83" s="33" t="n"/>
      <c r="C83" s="34" t="n"/>
      <c r="D83" s="34" t="n"/>
      <c r="E83" s="35" t="n"/>
      <c r="F83" s="35" t="n"/>
      <c r="G83" s="41" t="n"/>
      <c r="H83" s="34" t="n"/>
      <c r="I83" s="36" t="n"/>
      <c r="J83" s="37" t="n"/>
    </row>
    <row r="84" ht="15" customHeight="1" s="62">
      <c r="A84" s="54" t="n"/>
      <c r="B84" s="33" t="n"/>
      <c r="C84" s="34" t="n"/>
      <c r="D84" s="34" t="n"/>
      <c r="E84" s="35" t="n"/>
      <c r="F84" s="35" t="n"/>
      <c r="G84" s="41" t="n"/>
      <c r="H84" s="34" t="n"/>
      <c r="I84" s="36" t="n"/>
      <c r="J84" s="37" t="n"/>
    </row>
    <row r="85" ht="15" customHeight="1" s="62">
      <c r="A85" s="54" t="n"/>
      <c r="B85" s="33" t="n"/>
      <c r="C85" s="34" t="n"/>
      <c r="D85" s="34" t="n"/>
      <c r="E85" s="35" t="n"/>
      <c r="F85" s="35" t="n"/>
      <c r="G85" s="41" t="n"/>
      <c r="H85" s="34" t="n"/>
      <c r="I85" s="36" t="n"/>
      <c r="J85" s="37" t="n"/>
    </row>
    <row r="86" ht="15" customHeight="1" s="62">
      <c r="A86" s="54" t="n"/>
      <c r="B86" s="33" t="n"/>
      <c r="C86" s="34" t="n"/>
      <c r="D86" s="34" t="n"/>
      <c r="E86" s="35" t="n"/>
      <c r="F86" s="35" t="n"/>
      <c r="G86" s="41" t="n"/>
      <c r="H86" s="34" t="n"/>
      <c r="I86" s="36" t="n"/>
      <c r="J86" s="37" t="n"/>
    </row>
    <row r="87" ht="15" customHeight="1" s="62">
      <c r="A87" s="54" t="n"/>
      <c r="B87" s="33" t="n"/>
      <c r="C87" s="34" t="n"/>
      <c r="D87" s="34" t="n"/>
      <c r="E87" s="35" t="n"/>
      <c r="F87" s="35" t="n"/>
      <c r="G87" s="41" t="n"/>
      <c r="H87" s="34" t="n"/>
      <c r="I87" s="36" t="n"/>
      <c r="J87" s="37" t="n"/>
    </row>
    <row r="88" ht="15" customHeight="1" s="62">
      <c r="A88" s="54" t="n"/>
      <c r="B88" s="33" t="n"/>
      <c r="C88" s="34" t="n"/>
      <c r="D88" s="34" t="n"/>
      <c r="E88" s="35" t="n"/>
      <c r="F88" s="35" t="n"/>
      <c r="G88" s="41" t="n"/>
      <c r="H88" s="34" t="n"/>
      <c r="I88" s="36" t="n"/>
      <c r="J88" s="37" t="n"/>
    </row>
    <row r="89" ht="15" customHeight="1" s="62">
      <c r="A89" s="54" t="n"/>
      <c r="B89" s="33" t="n"/>
      <c r="C89" s="34" t="n"/>
      <c r="D89" s="34" t="n"/>
      <c r="E89" s="35" t="n"/>
      <c r="F89" s="35" t="n"/>
      <c r="G89" s="41" t="n"/>
      <c r="H89" s="34" t="n"/>
      <c r="I89" s="36" t="n"/>
      <c r="J89" s="37" t="n"/>
    </row>
    <row r="90" ht="15" customHeight="1" s="62">
      <c r="A90" s="54" t="n"/>
      <c r="B90" s="33" t="n"/>
      <c r="C90" s="34" t="n"/>
      <c r="D90" s="34" t="n"/>
      <c r="E90" s="35" t="n"/>
      <c r="F90" s="35" t="n"/>
      <c r="G90" s="41" t="n"/>
      <c r="H90" s="34" t="n"/>
      <c r="I90" s="36" t="n"/>
      <c r="J90" s="37" t="n"/>
    </row>
    <row r="91" ht="15" customHeight="1" s="62">
      <c r="A91" s="54" t="n"/>
      <c r="B91" s="33" t="n"/>
      <c r="C91" s="34" t="n"/>
      <c r="D91" s="34" t="n"/>
      <c r="E91" s="35" t="n"/>
      <c r="F91" s="35" t="n"/>
      <c r="G91" s="41" t="n"/>
      <c r="H91" s="34" t="n"/>
      <c r="I91" s="36" t="n"/>
      <c r="J91" s="37" t="n"/>
    </row>
    <row r="92" ht="15" customHeight="1" s="62">
      <c r="A92" s="54" t="n"/>
      <c r="B92" s="33" t="n"/>
      <c r="C92" s="34" t="n"/>
      <c r="D92" s="34" t="n"/>
      <c r="E92" s="35" t="n"/>
      <c r="F92" s="35" t="n"/>
      <c r="G92" s="41" t="n"/>
      <c r="H92" s="34" t="n"/>
      <c r="I92" s="36" t="n"/>
      <c r="J92" s="37" t="n"/>
    </row>
    <row r="93" ht="15" customHeight="1" s="62">
      <c r="A93" s="54" t="n"/>
      <c r="B93" s="33" t="n"/>
      <c r="C93" s="34" t="n"/>
      <c r="D93" s="34" t="n"/>
      <c r="E93" s="35" t="n"/>
      <c r="F93" s="35" t="n"/>
      <c r="G93" s="41" t="n"/>
      <c r="H93" s="34" t="n"/>
      <c r="I93" s="36" t="n"/>
      <c r="J93" s="37" t="n"/>
    </row>
    <row r="94" ht="15" customHeight="1" s="62">
      <c r="A94" s="54" t="n"/>
      <c r="B94" s="33" t="n"/>
      <c r="C94" s="34" t="n"/>
      <c r="D94" s="34" t="n"/>
      <c r="E94" s="35" t="n"/>
      <c r="F94" s="35" t="n"/>
      <c r="G94" s="41" t="n"/>
      <c r="H94" s="34" t="n"/>
      <c r="I94" s="36" t="n"/>
      <c r="J94" s="37" t="n"/>
    </row>
    <row r="95" ht="15" customHeight="1" s="62">
      <c r="A95" s="54" t="n"/>
      <c r="B95" s="33" t="n"/>
      <c r="C95" s="34" t="n"/>
      <c r="D95" s="34" t="n"/>
      <c r="E95" s="35" t="n"/>
      <c r="F95" s="35" t="n"/>
      <c r="G95" s="41" t="n"/>
      <c r="H95" s="34" t="n"/>
      <c r="I95" s="36" t="n"/>
      <c r="J95" s="37" t="n"/>
    </row>
    <row r="96" ht="15" customHeight="1" s="62">
      <c r="A96" s="54" t="n"/>
      <c r="B96" s="33" t="n"/>
      <c r="C96" s="34" t="n"/>
      <c r="D96" s="34" t="n"/>
      <c r="E96" s="35" t="n"/>
      <c r="F96" s="35" t="n"/>
      <c r="G96" s="41" t="n"/>
      <c r="H96" s="34" t="n"/>
      <c r="I96" s="36" t="n"/>
      <c r="J96" s="37" t="n"/>
    </row>
    <row r="97" ht="15" customHeight="1" s="62">
      <c r="A97" s="54" t="n"/>
      <c r="B97" s="33" t="n"/>
      <c r="C97" s="34" t="n"/>
      <c r="D97" s="34" t="n"/>
      <c r="E97" s="35" t="n"/>
      <c r="F97" s="35" t="n"/>
      <c r="G97" s="41" t="n"/>
      <c r="H97" s="34" t="n"/>
      <c r="I97" s="36" t="n"/>
      <c r="J97" s="37" t="n"/>
    </row>
    <row r="98" ht="15" customHeight="1" s="62">
      <c r="A98" s="54" t="n"/>
      <c r="B98" s="33" t="n"/>
      <c r="C98" s="34" t="n"/>
      <c r="D98" s="34" t="n"/>
      <c r="E98" s="35" t="n"/>
      <c r="F98" s="35" t="n"/>
      <c r="G98" s="41" t="n"/>
      <c r="H98" s="34" t="n"/>
      <c r="I98" s="36" t="n"/>
      <c r="J98" s="37" t="n"/>
    </row>
    <row r="99" ht="15" customHeight="1" s="62">
      <c r="A99" s="54" t="n"/>
      <c r="B99" s="33" t="n"/>
      <c r="C99" s="34" t="n"/>
      <c r="D99" s="34" t="n"/>
      <c r="E99" s="35" t="n"/>
      <c r="F99" s="35" t="n"/>
      <c r="G99" s="41" t="n"/>
      <c r="H99" s="34" t="n"/>
      <c r="I99" s="36" t="n"/>
      <c r="J99" s="37" t="n"/>
    </row>
    <row r="100" ht="15" customHeight="1" s="62">
      <c r="A100" s="54" t="n"/>
      <c r="B100" s="33" t="n"/>
      <c r="C100" s="34" t="n"/>
      <c r="D100" s="34" t="n"/>
      <c r="E100" s="35" t="n"/>
      <c r="F100" s="35" t="n"/>
      <c r="G100" s="41" t="n"/>
      <c r="H100" s="34" t="n"/>
      <c r="I100" s="36" t="n"/>
      <c r="J100" s="37" t="n"/>
    </row>
    <row r="101" ht="15" customHeight="1" s="62">
      <c r="A101" s="54" t="n"/>
      <c r="B101" s="33" t="n"/>
      <c r="C101" s="34" t="n"/>
      <c r="D101" s="34" t="n"/>
      <c r="E101" s="35" t="n"/>
      <c r="F101" s="35" t="n"/>
      <c r="G101" s="41" t="n"/>
      <c r="H101" s="34" t="n"/>
      <c r="I101" s="36" t="n"/>
      <c r="J101" s="37" t="n"/>
    </row>
    <row r="102" ht="15" customHeight="1" s="62">
      <c r="A102" s="54" t="n"/>
      <c r="B102" s="33" t="n"/>
      <c r="C102" s="34" t="n"/>
      <c r="D102" s="34" t="n"/>
      <c r="E102" s="35" t="n"/>
      <c r="F102" s="35" t="n"/>
      <c r="G102" s="41" t="n"/>
      <c r="H102" s="34" t="n"/>
      <c r="I102" s="36" t="n"/>
      <c r="J102" s="37" t="n"/>
    </row>
    <row r="103" ht="15" customHeight="1" s="62">
      <c r="A103" s="54" t="n"/>
      <c r="B103" s="33" t="n"/>
      <c r="C103" s="34" t="n"/>
      <c r="D103" s="34" t="n"/>
      <c r="E103" s="35" t="n"/>
      <c r="F103" s="35" t="n"/>
      <c r="G103" s="41" t="n"/>
      <c r="H103" s="34" t="n"/>
      <c r="I103" s="36" t="n"/>
      <c r="J103" s="37" t="n"/>
    </row>
    <row r="104" ht="15" customHeight="1" s="62">
      <c r="A104" s="54" t="n"/>
      <c r="B104" s="33" t="n"/>
      <c r="C104" s="34" t="n"/>
      <c r="D104" s="34" t="n"/>
      <c r="E104" s="35" t="n"/>
      <c r="F104" s="35" t="n"/>
      <c r="G104" s="41" t="n"/>
      <c r="H104" s="34" t="n"/>
      <c r="I104" s="36" t="n"/>
      <c r="J104" s="37" t="n"/>
    </row>
    <row r="105" ht="15" customHeight="1" s="62">
      <c r="A105" s="54" t="n"/>
      <c r="B105" s="33" t="n"/>
      <c r="C105" s="34" t="n"/>
      <c r="D105" s="34" t="n"/>
      <c r="E105" s="35" t="n"/>
      <c r="F105" s="35" t="n"/>
      <c r="G105" s="41" t="n"/>
      <c r="H105" s="34" t="n"/>
      <c r="I105" s="36" t="n"/>
      <c r="J105" s="37" t="n"/>
    </row>
    <row r="106" ht="15" customHeight="1" s="62">
      <c r="A106" s="54" t="n"/>
      <c r="B106" s="33" t="n"/>
      <c r="C106" s="34" t="n"/>
      <c r="D106" s="34" t="n"/>
      <c r="E106" s="35" t="n"/>
      <c r="F106" s="35" t="n"/>
      <c r="G106" s="41" t="n"/>
      <c r="H106" s="34" t="n"/>
      <c r="I106" s="36" t="n"/>
      <c r="J106" s="37" t="n"/>
    </row>
    <row r="107" ht="15" customHeight="1" s="62">
      <c r="A107" s="54" t="n"/>
      <c r="B107" s="33" t="n"/>
      <c r="C107" s="34" t="n"/>
      <c r="D107" s="34" t="n"/>
      <c r="E107" s="35" t="n"/>
      <c r="F107" s="35" t="n"/>
      <c r="G107" s="41" t="n"/>
      <c r="H107" s="34" t="n"/>
      <c r="I107" s="36" t="n"/>
      <c r="J107" s="37" t="n"/>
    </row>
    <row r="108" ht="15" customHeight="1" s="62">
      <c r="A108" s="54" t="n"/>
      <c r="B108" s="33" t="n"/>
      <c r="C108" s="34" t="n"/>
      <c r="D108" s="34" t="n"/>
      <c r="E108" s="35" t="n"/>
      <c r="F108" s="35" t="n"/>
      <c r="G108" s="41" t="n"/>
      <c r="H108" s="34" t="n"/>
      <c r="I108" s="36" t="n"/>
      <c r="J108" s="37" t="n"/>
    </row>
    <row r="109" ht="15" customHeight="1" s="62">
      <c r="A109" s="54" t="n"/>
      <c r="B109" s="33" t="n"/>
      <c r="C109" s="34" t="n"/>
      <c r="D109" s="34" t="n"/>
      <c r="E109" s="35" t="n"/>
      <c r="F109" s="35" t="n"/>
      <c r="G109" s="41" t="n"/>
      <c r="H109" s="34" t="n"/>
      <c r="I109" s="36" t="n"/>
      <c r="J109" s="37" t="n"/>
    </row>
    <row r="110" ht="15" customHeight="1" s="62">
      <c r="A110" s="54" t="n"/>
      <c r="B110" s="33" t="n"/>
      <c r="C110" s="34" t="n"/>
      <c r="D110" s="34" t="n"/>
      <c r="E110" s="35" t="n"/>
      <c r="F110" s="35" t="n"/>
      <c r="G110" s="41" t="n"/>
      <c r="H110" s="34" t="n"/>
      <c r="I110" s="36" t="n"/>
      <c r="J110" s="37" t="n"/>
    </row>
    <row r="111" ht="15" customHeight="1" s="62">
      <c r="A111" s="54" t="n"/>
      <c r="B111" s="33" t="n"/>
      <c r="C111" s="34" t="n"/>
      <c r="D111" s="34" t="n"/>
      <c r="E111" s="35" t="n"/>
      <c r="F111" s="35" t="n"/>
      <c r="G111" s="41" t="n"/>
      <c r="H111" s="34" t="n"/>
      <c r="I111" s="36" t="n"/>
      <c r="J111" s="37" t="n"/>
    </row>
    <row r="112" ht="15" customHeight="1" s="62">
      <c r="A112" s="54" t="n"/>
      <c r="B112" s="33" t="n"/>
      <c r="C112" s="34" t="n"/>
      <c r="D112" s="34" t="n"/>
      <c r="E112" s="35" t="n"/>
      <c r="F112" s="35" t="n"/>
      <c r="G112" s="41" t="n"/>
      <c r="H112" s="34" t="n"/>
      <c r="I112" s="36" t="n"/>
      <c r="J112" s="37" t="n"/>
    </row>
    <row r="113" ht="15" customHeight="1" s="62">
      <c r="A113" s="54" t="n"/>
      <c r="B113" s="33" t="n"/>
      <c r="C113" s="34" t="n"/>
      <c r="D113" s="34" t="n"/>
      <c r="E113" s="35" t="n"/>
      <c r="F113" s="35" t="n"/>
      <c r="G113" s="41" t="n"/>
      <c r="H113" s="34" t="n"/>
      <c r="I113" s="36" t="n"/>
      <c r="J113" s="37" t="n"/>
    </row>
    <row r="114" ht="15" customHeight="1" s="62">
      <c r="A114" s="54" t="n"/>
      <c r="B114" s="33" t="n"/>
      <c r="C114" s="34" t="n"/>
      <c r="D114" s="34" t="n"/>
      <c r="E114" s="35" t="n"/>
      <c r="F114" s="35" t="n"/>
      <c r="G114" s="41" t="n"/>
      <c r="H114" s="34" t="n"/>
      <c r="I114" s="36" t="n"/>
      <c r="J114" s="37" t="n"/>
    </row>
    <row r="115" ht="15" customHeight="1" s="62">
      <c r="A115" s="54" t="n"/>
      <c r="B115" s="33" t="n"/>
      <c r="C115" s="34" t="n"/>
      <c r="D115" s="34" t="n"/>
      <c r="E115" s="35" t="n"/>
      <c r="F115" s="35" t="n"/>
      <c r="G115" s="41" t="n"/>
      <c r="H115" s="34" t="n"/>
      <c r="I115" s="36" t="n"/>
      <c r="J115" s="37" t="n"/>
    </row>
    <row r="116" ht="15" customHeight="1" s="62">
      <c r="A116" s="54" t="n"/>
      <c r="B116" s="33" t="n"/>
      <c r="C116" s="34" t="n"/>
      <c r="D116" s="34" t="n"/>
      <c r="E116" s="35" t="n"/>
      <c r="F116" s="35" t="n"/>
      <c r="G116" s="41" t="n"/>
      <c r="H116" s="34" t="n"/>
      <c r="I116" s="36" t="n"/>
      <c r="J116" s="37" t="n"/>
    </row>
    <row r="117" ht="15" customHeight="1" s="62">
      <c r="A117" s="54" t="n"/>
      <c r="B117" s="33" t="n"/>
      <c r="C117" s="34" t="n"/>
      <c r="D117" s="34" t="n"/>
      <c r="E117" s="35" t="n"/>
      <c r="F117" s="35" t="n"/>
      <c r="G117" s="41" t="n"/>
      <c r="H117" s="34" t="n"/>
      <c r="I117" s="36" t="n"/>
      <c r="J117" s="37" t="n"/>
    </row>
    <row r="118" ht="15" customHeight="1" s="62">
      <c r="A118" s="54" t="n"/>
      <c r="B118" s="33" t="n"/>
      <c r="C118" s="34" t="n"/>
      <c r="D118" s="34" t="n"/>
      <c r="E118" s="35" t="n"/>
      <c r="F118" s="35" t="n"/>
      <c r="G118" s="41" t="n"/>
      <c r="H118" s="34" t="n"/>
      <c r="I118" s="36" t="n"/>
      <c r="J118" s="37" t="n"/>
    </row>
    <row r="119" ht="15" customHeight="1" s="62">
      <c r="A119" s="54" t="n"/>
      <c r="B119" s="33" t="n"/>
      <c r="C119" s="34" t="n"/>
      <c r="D119" s="34" t="n"/>
      <c r="E119" s="35" t="n"/>
      <c r="F119" s="35" t="n"/>
      <c r="G119" s="41" t="n"/>
      <c r="H119" s="34" t="n"/>
      <c r="I119" s="36" t="n"/>
      <c r="J119" s="37" t="n"/>
    </row>
    <row r="120" ht="15" customHeight="1" s="62">
      <c r="A120" s="54" t="n"/>
      <c r="B120" s="33" t="n"/>
      <c r="C120" s="34" t="n"/>
      <c r="D120" s="34" t="n"/>
      <c r="E120" s="35" t="n"/>
      <c r="F120" s="35" t="n"/>
      <c r="G120" s="41" t="n"/>
      <c r="H120" s="34" t="n"/>
      <c r="I120" s="36" t="n"/>
      <c r="J120" s="37" t="n"/>
    </row>
    <row r="121" ht="15" customHeight="1" s="62">
      <c r="A121" s="54" t="n"/>
      <c r="B121" s="33" t="n"/>
      <c r="C121" s="34" t="n"/>
      <c r="D121" s="34" t="n"/>
      <c r="E121" s="35" t="n"/>
      <c r="F121" s="35" t="n"/>
      <c r="G121" s="41" t="n"/>
      <c r="H121" s="34" t="n"/>
      <c r="I121" s="36" t="n"/>
      <c r="J121" s="37" t="n"/>
    </row>
    <row r="122" ht="15" customHeight="1" s="62">
      <c r="A122" s="54" t="n"/>
      <c r="B122" s="33" t="n"/>
      <c r="C122" s="34" t="n"/>
      <c r="D122" s="34" t="n"/>
      <c r="E122" s="35" t="n"/>
      <c r="F122" s="35" t="n"/>
      <c r="G122" s="41" t="n"/>
      <c r="H122" s="34" t="n"/>
      <c r="I122" s="36" t="n"/>
      <c r="J122" s="37" t="n"/>
    </row>
    <row r="123" ht="15" customHeight="1" s="62">
      <c r="A123" s="54" t="n"/>
      <c r="B123" s="33" t="n"/>
      <c r="C123" s="34" t="n"/>
      <c r="D123" s="34" t="n"/>
      <c r="E123" s="35" t="n"/>
      <c r="F123" s="35" t="n"/>
      <c r="G123" s="41" t="n"/>
      <c r="H123" s="34" t="n"/>
      <c r="I123" s="36" t="n"/>
      <c r="J123" s="37" t="n"/>
    </row>
    <row r="124" ht="15" customHeight="1" s="62">
      <c r="A124" s="54" t="n"/>
      <c r="B124" s="33" t="n"/>
      <c r="C124" s="34" t="n"/>
      <c r="D124" s="34" t="n"/>
      <c r="E124" s="35" t="n"/>
      <c r="F124" s="35" t="n"/>
      <c r="G124" s="41" t="n"/>
      <c r="H124" s="34" t="n"/>
      <c r="I124" s="36" t="n"/>
      <c r="J124" s="37" t="n"/>
    </row>
    <row r="125" ht="15" customHeight="1" s="62">
      <c r="A125" s="54" t="n"/>
      <c r="B125" s="33" t="n"/>
      <c r="C125" s="34" t="n"/>
      <c r="D125" s="34" t="n"/>
      <c r="E125" s="35" t="n"/>
      <c r="F125" s="35" t="n"/>
      <c r="G125" s="41" t="n"/>
      <c r="H125" s="34" t="n"/>
      <c r="I125" s="36" t="n"/>
      <c r="J125" s="37" t="n"/>
    </row>
    <row r="126" ht="15" customHeight="1" s="62">
      <c r="A126" s="54" t="n"/>
      <c r="B126" s="33" t="n"/>
      <c r="C126" s="34" t="n"/>
      <c r="D126" s="34" t="n"/>
      <c r="E126" s="35" t="n"/>
      <c r="F126" s="35" t="n"/>
      <c r="G126" s="41" t="n"/>
      <c r="H126" s="34" t="n"/>
      <c r="I126" s="36" t="n"/>
      <c r="J126" s="37" t="n"/>
    </row>
    <row r="127" ht="15" customHeight="1" s="62">
      <c r="A127" s="54" t="n"/>
      <c r="B127" s="33" t="n"/>
      <c r="C127" s="34" t="n"/>
      <c r="D127" s="34" t="n"/>
      <c r="E127" s="35" t="n"/>
      <c r="F127" s="35" t="n"/>
      <c r="G127" s="41" t="n"/>
      <c r="H127" s="34" t="n"/>
      <c r="I127" s="36" t="n"/>
      <c r="J127" s="37" t="n"/>
    </row>
    <row r="128" ht="15" customHeight="1" s="62">
      <c r="A128" s="54" t="n"/>
      <c r="B128" s="33" t="n"/>
      <c r="C128" s="34" t="n"/>
      <c r="D128" s="34" t="n"/>
      <c r="E128" s="35" t="n"/>
      <c r="F128" s="35" t="n"/>
      <c r="G128" s="41" t="n"/>
      <c r="H128" s="34" t="n"/>
      <c r="I128" s="36" t="n"/>
      <c r="J128" s="37" t="n"/>
    </row>
    <row r="129" ht="15" customHeight="1" s="62">
      <c r="A129" s="54" t="n"/>
      <c r="B129" s="33" t="n"/>
      <c r="C129" s="34" t="n"/>
      <c r="D129" s="34" t="n"/>
      <c r="E129" s="35" t="n"/>
      <c r="F129" s="35" t="n"/>
      <c r="G129" s="41" t="n"/>
      <c r="H129" s="34" t="n"/>
      <c r="I129" s="36" t="n"/>
      <c r="J129" s="37" t="n"/>
    </row>
    <row r="130" ht="15" customHeight="1" s="62">
      <c r="A130" s="54" t="n"/>
      <c r="B130" s="33" t="n"/>
      <c r="C130" s="34" t="n"/>
      <c r="D130" s="34" t="n"/>
      <c r="E130" s="35" t="n"/>
      <c r="F130" s="35" t="n"/>
      <c r="G130" s="41" t="n"/>
      <c r="H130" s="34" t="n"/>
      <c r="I130" s="36" t="n"/>
      <c r="J130" s="37" t="n"/>
    </row>
    <row r="131" ht="15" customHeight="1" s="62">
      <c r="A131" s="54" t="n"/>
      <c r="B131" s="33" t="n"/>
      <c r="C131" s="34" t="n"/>
      <c r="D131" s="34" t="n"/>
      <c r="E131" s="35" t="n"/>
      <c r="F131" s="35" t="n"/>
      <c r="G131" s="41" t="n"/>
      <c r="H131" s="34" t="n"/>
      <c r="I131" s="36" t="n"/>
      <c r="J131" s="37" t="n"/>
    </row>
    <row r="132" ht="15" customHeight="1" s="62">
      <c r="A132" s="54" t="n"/>
      <c r="B132" s="33" t="n"/>
      <c r="C132" s="34" t="n"/>
      <c r="D132" s="34" t="n"/>
      <c r="E132" s="35" t="n"/>
      <c r="F132" s="35" t="n"/>
      <c r="G132" s="41" t="n"/>
      <c r="H132" s="34" t="n"/>
      <c r="I132" s="36" t="n"/>
      <c r="J132" s="37" t="n"/>
    </row>
    <row r="133" ht="15" customHeight="1" s="62">
      <c r="A133" s="54" t="n"/>
      <c r="B133" s="33" t="n"/>
      <c r="C133" s="34" t="n"/>
      <c r="D133" s="34" t="n"/>
      <c r="E133" s="35" t="n"/>
      <c r="F133" s="35" t="n"/>
      <c r="G133" s="41" t="n"/>
      <c r="H133" s="34" t="n"/>
      <c r="I133" s="36" t="n"/>
      <c r="J133" s="37" t="n"/>
    </row>
    <row r="134" ht="15" customHeight="1" s="62">
      <c r="A134" s="54" t="n"/>
      <c r="B134" s="33" t="n"/>
      <c r="C134" s="34" t="n"/>
      <c r="D134" s="34" t="n"/>
      <c r="E134" s="35" t="n"/>
      <c r="F134" s="35" t="n"/>
      <c r="G134" s="41" t="n"/>
      <c r="H134" s="34" t="n"/>
      <c r="I134" s="36" t="n"/>
      <c r="J134" s="37" t="n"/>
    </row>
    <row r="135" ht="15" customHeight="1" s="62">
      <c r="A135" s="54" t="n"/>
      <c r="B135" s="33" t="n"/>
      <c r="C135" s="34" t="n"/>
      <c r="D135" s="34" t="n"/>
      <c r="E135" s="35" t="n"/>
      <c r="F135" s="35" t="n"/>
      <c r="G135" s="41" t="n"/>
      <c r="H135" s="34" t="n"/>
      <c r="I135" s="36" t="n"/>
      <c r="J135" s="37" t="n"/>
    </row>
    <row r="136" ht="15" customHeight="1" s="62">
      <c r="A136" s="54" t="n"/>
      <c r="B136" s="33" t="n"/>
      <c r="C136" s="34" t="n"/>
      <c r="D136" s="34" t="n"/>
      <c r="E136" s="35" t="n"/>
      <c r="F136" s="35" t="n"/>
      <c r="G136" s="41" t="n"/>
      <c r="H136" s="34" t="n"/>
      <c r="I136" s="36" t="n"/>
      <c r="J136" s="37" t="n"/>
    </row>
    <row r="137" ht="15" customHeight="1" s="62">
      <c r="A137" s="54" t="n"/>
      <c r="B137" s="33" t="n"/>
      <c r="C137" s="34" t="n"/>
      <c r="D137" s="34" t="n"/>
      <c r="E137" s="35" t="n"/>
      <c r="F137" s="35" t="n"/>
      <c r="G137" s="41" t="n"/>
      <c r="H137" s="34" t="n"/>
      <c r="I137" s="36" t="n"/>
      <c r="J137" s="37" t="n"/>
    </row>
    <row r="138" ht="15" customHeight="1" s="62">
      <c r="A138" s="54" t="n"/>
      <c r="B138" s="33" t="n"/>
      <c r="C138" s="34" t="n"/>
      <c r="D138" s="34" t="n"/>
      <c r="E138" s="35" t="n"/>
      <c r="F138" s="35" t="n"/>
      <c r="G138" s="41" t="n"/>
      <c r="H138" s="34" t="n"/>
      <c r="I138" s="36" t="n"/>
      <c r="J138" s="37" t="n"/>
    </row>
    <row r="139" ht="15" customHeight="1" s="62">
      <c r="A139" s="54" t="n"/>
      <c r="B139" s="33" t="n"/>
      <c r="C139" s="34" t="n"/>
      <c r="D139" s="34" t="n"/>
      <c r="E139" s="35" t="n"/>
      <c r="F139" s="35" t="n"/>
      <c r="G139" s="41" t="n"/>
      <c r="H139" s="34" t="n"/>
      <c r="I139" s="36" t="n"/>
      <c r="J139" s="37" t="n"/>
    </row>
    <row r="140" ht="15" customHeight="1" s="62">
      <c r="A140" s="54" t="n"/>
      <c r="B140" s="33" t="n"/>
      <c r="C140" s="34" t="n"/>
      <c r="D140" s="34" t="n"/>
      <c r="E140" s="35" t="n"/>
      <c r="F140" s="35" t="n"/>
      <c r="G140" s="41" t="n"/>
      <c r="H140" s="34" t="n"/>
      <c r="I140" s="36" t="n"/>
      <c r="J140" s="37" t="n"/>
    </row>
    <row r="141" ht="15" customHeight="1" s="62">
      <c r="A141" s="54" t="n"/>
      <c r="B141" s="33" t="n"/>
      <c r="C141" s="34" t="n"/>
      <c r="D141" s="34" t="n"/>
      <c r="E141" s="35" t="n"/>
      <c r="F141" s="35" t="n"/>
      <c r="G141" s="41" t="n"/>
      <c r="H141" s="34" t="n"/>
      <c r="I141" s="36" t="n"/>
      <c r="J141" s="37" t="n"/>
    </row>
    <row r="142" ht="15" customHeight="1" s="62">
      <c r="A142" s="54" t="n"/>
      <c r="B142" s="33" t="n"/>
      <c r="C142" s="34" t="n"/>
      <c r="D142" s="34" t="n"/>
      <c r="E142" s="35" t="n"/>
      <c r="F142" s="35" t="n"/>
      <c r="G142" s="41" t="n"/>
      <c r="H142" s="34" t="n"/>
      <c r="I142" s="36" t="n"/>
      <c r="J142" s="37" t="n"/>
    </row>
    <row r="143" ht="15" customHeight="1" s="62">
      <c r="A143" s="54" t="n"/>
      <c r="B143" s="33" t="n"/>
      <c r="C143" s="34" t="n"/>
      <c r="D143" s="34" t="n"/>
      <c r="E143" s="35" t="n"/>
      <c r="F143" s="35" t="n"/>
      <c r="G143" s="41" t="n"/>
      <c r="H143" s="34" t="n"/>
      <c r="I143" s="36" t="n"/>
      <c r="J143" s="37" t="n"/>
    </row>
    <row r="144" ht="15" customHeight="1" s="62">
      <c r="A144" s="54" t="n"/>
      <c r="B144" s="33" t="n"/>
      <c r="C144" s="34" t="n"/>
      <c r="D144" s="34" t="n"/>
      <c r="E144" s="35" t="n"/>
      <c r="F144" s="35" t="n"/>
      <c r="G144" s="41" t="n"/>
      <c r="H144" s="34" t="n"/>
      <c r="I144" s="36" t="n"/>
      <c r="J144" s="37" t="n"/>
    </row>
    <row r="145" ht="15" customHeight="1" s="62">
      <c r="A145" s="54" t="n"/>
      <c r="B145" s="33" t="n"/>
      <c r="C145" s="34" t="n"/>
      <c r="D145" s="34" t="n"/>
      <c r="E145" s="35" t="n"/>
      <c r="F145" s="35" t="n"/>
      <c r="G145" s="41" t="n"/>
      <c r="H145" s="34" t="n"/>
      <c r="I145" s="36" t="n"/>
      <c r="J145" s="37" t="n"/>
    </row>
    <row r="146" ht="15" customHeight="1" s="62">
      <c r="A146" s="54" t="n"/>
      <c r="B146" s="33" t="n"/>
      <c r="C146" s="34" t="n"/>
      <c r="D146" s="34" t="n"/>
      <c r="E146" s="35" t="n"/>
      <c r="F146" s="35" t="n"/>
      <c r="G146" s="41" t="n"/>
      <c r="H146" s="34" t="n"/>
      <c r="I146" s="36" t="n"/>
      <c r="J146" s="37" t="n"/>
    </row>
    <row r="147" ht="15" customHeight="1" s="62">
      <c r="A147" s="54" t="n"/>
      <c r="B147" s="33" t="n"/>
      <c r="C147" s="34" t="n"/>
      <c r="D147" s="34" t="n"/>
      <c r="E147" s="35" t="n"/>
      <c r="F147" s="35" t="n"/>
      <c r="G147" s="41" t="n"/>
      <c r="H147" s="34" t="n"/>
      <c r="I147" s="36" t="n"/>
      <c r="J147" s="37" t="n"/>
    </row>
    <row r="148" ht="15" customHeight="1" s="62">
      <c r="A148" s="54" t="n"/>
      <c r="B148" s="33" t="n"/>
      <c r="C148" s="34" t="n"/>
      <c r="D148" s="34" t="n"/>
      <c r="E148" s="35" t="n"/>
      <c r="F148" s="35" t="n"/>
      <c r="G148" s="41" t="n"/>
      <c r="H148" s="34" t="n"/>
      <c r="I148" s="36" t="n"/>
      <c r="J148" s="37" t="n"/>
    </row>
    <row r="149" ht="15" customHeight="1" s="62">
      <c r="A149" s="54" t="n"/>
      <c r="B149" s="33" t="n"/>
      <c r="C149" s="34" t="n"/>
      <c r="D149" s="34" t="n"/>
      <c r="E149" s="35" t="n"/>
      <c r="F149" s="35" t="n"/>
      <c r="G149" s="41" t="n"/>
      <c r="H149" s="34" t="n"/>
      <c r="I149" s="36" t="n"/>
      <c r="J149" s="37" t="n"/>
    </row>
    <row r="150" ht="15" customHeight="1" s="62">
      <c r="A150" s="54" t="n"/>
      <c r="B150" s="33" t="n"/>
      <c r="C150" s="34" t="n"/>
      <c r="D150" s="34" t="n"/>
      <c r="E150" s="35" t="n"/>
      <c r="F150" s="35" t="n"/>
      <c r="G150" s="41" t="n"/>
      <c r="H150" s="34" t="n"/>
      <c r="I150" s="36" t="n"/>
      <c r="J150" s="37" t="n"/>
    </row>
    <row r="151" ht="15" customHeight="1" s="62">
      <c r="A151" s="54" t="n"/>
      <c r="B151" s="33" t="n"/>
      <c r="C151" s="34" t="n"/>
      <c r="D151" s="34" t="n"/>
      <c r="E151" s="35" t="n"/>
      <c r="F151" s="35" t="n"/>
      <c r="G151" s="41" t="n"/>
      <c r="H151" s="34" t="n"/>
      <c r="I151" s="36" t="n"/>
      <c r="J151" s="37" t="n"/>
    </row>
    <row r="152" ht="15" customHeight="1" s="62">
      <c r="A152" s="54" t="n"/>
      <c r="B152" s="33" t="n"/>
      <c r="C152" s="34" t="n"/>
      <c r="D152" s="34" t="n"/>
      <c r="E152" s="35" t="n"/>
      <c r="F152" s="35" t="n"/>
      <c r="G152" s="41" t="n"/>
      <c r="H152" s="34" t="n"/>
      <c r="I152" s="36" t="n"/>
      <c r="J152" s="37" t="n"/>
    </row>
    <row r="153" ht="15" customHeight="1" s="62">
      <c r="A153" s="54" t="n"/>
      <c r="B153" s="33" t="n"/>
      <c r="C153" s="34" t="n"/>
      <c r="D153" s="34" t="n"/>
      <c r="E153" s="35" t="n"/>
      <c r="F153" s="35" t="n"/>
      <c r="G153" s="41" t="n"/>
      <c r="H153" s="34" t="n"/>
      <c r="I153" s="36" t="n"/>
      <c r="J153" s="37" t="n"/>
    </row>
    <row r="154" ht="15" customHeight="1" s="62">
      <c r="A154" s="54" t="n"/>
      <c r="B154" s="33" t="n"/>
      <c r="C154" s="34" t="n"/>
      <c r="D154" s="34" t="n"/>
      <c r="E154" s="35" t="n"/>
      <c r="F154" s="35" t="n"/>
      <c r="G154" s="41" t="n"/>
      <c r="H154" s="34" t="n"/>
      <c r="I154" s="36" t="n"/>
      <c r="J154" s="37" t="n"/>
    </row>
    <row r="155" ht="15" customHeight="1" s="62">
      <c r="A155" s="54" t="n"/>
      <c r="B155" s="33" t="n"/>
      <c r="C155" s="34" t="n"/>
      <c r="D155" s="34" t="n"/>
      <c r="E155" s="35" t="n"/>
      <c r="F155" s="35" t="n"/>
      <c r="G155" s="41" t="n"/>
      <c r="H155" s="34" t="n"/>
      <c r="I155" s="36" t="n"/>
      <c r="J155" s="37" t="n"/>
    </row>
    <row r="156" ht="15" customHeight="1" s="62">
      <c r="A156" s="54" t="n"/>
      <c r="B156" s="33" t="n"/>
      <c r="C156" s="34" t="n"/>
      <c r="D156" s="34" t="n"/>
      <c r="E156" s="35" t="n"/>
      <c r="F156" s="35" t="n"/>
      <c r="G156" s="41" t="n"/>
      <c r="H156" s="34" t="n"/>
      <c r="I156" s="36" t="n"/>
      <c r="J156" s="37" t="n"/>
    </row>
    <row r="157" ht="15" customHeight="1" s="62">
      <c r="A157" s="54" t="n"/>
      <c r="B157" s="33" t="n"/>
      <c r="C157" s="34" t="n"/>
      <c r="D157" s="34" t="n"/>
      <c r="E157" s="35" t="n"/>
      <c r="F157" s="35" t="n"/>
      <c r="G157" s="41" t="n"/>
      <c r="H157" s="34" t="n"/>
      <c r="I157" s="36" t="n"/>
      <c r="J157" s="37" t="n"/>
    </row>
    <row r="158" ht="15" customHeight="1" s="62">
      <c r="A158" s="54" t="n"/>
      <c r="B158" s="33" t="n"/>
      <c r="C158" s="34" t="n"/>
      <c r="D158" s="34" t="n"/>
      <c r="E158" s="35" t="n"/>
      <c r="F158" s="35" t="n"/>
      <c r="G158" s="41" t="n"/>
      <c r="H158" s="34" t="n"/>
      <c r="I158" s="36" t="n"/>
      <c r="J158" s="37" t="n"/>
    </row>
    <row r="159" ht="15" customHeight="1" s="62">
      <c r="A159" s="54" t="n"/>
      <c r="B159" s="33" t="n"/>
      <c r="C159" s="34" t="n"/>
      <c r="D159" s="34" t="n"/>
      <c r="E159" s="35" t="n"/>
      <c r="F159" s="35" t="n"/>
      <c r="G159" s="41" t="n"/>
      <c r="H159" s="34" t="n"/>
      <c r="I159" s="36" t="n"/>
      <c r="J159" s="37" t="n"/>
    </row>
    <row r="160" ht="15" customHeight="1" s="62">
      <c r="A160" s="54" t="n"/>
      <c r="B160" s="33" t="n"/>
      <c r="C160" s="34" t="n"/>
      <c r="D160" s="34" t="n"/>
      <c r="E160" s="35" t="n"/>
      <c r="F160" s="35" t="n"/>
      <c r="G160" s="41" t="n"/>
      <c r="H160" s="34" t="n"/>
      <c r="I160" s="36" t="n"/>
      <c r="J160" s="37" t="n"/>
    </row>
    <row r="161" ht="15" customHeight="1" s="62">
      <c r="A161" s="54" t="n"/>
      <c r="B161" s="33" t="n"/>
      <c r="C161" s="34" t="n"/>
      <c r="D161" s="34" t="n"/>
      <c r="E161" s="35" t="n"/>
      <c r="F161" s="35" t="n"/>
      <c r="G161" s="41" t="n"/>
      <c r="H161" s="34" t="n"/>
      <c r="I161" s="36" t="n"/>
      <c r="J161" s="37" t="n"/>
    </row>
    <row r="162" ht="15" customHeight="1" s="62">
      <c r="A162" s="54" t="n"/>
      <c r="B162" s="33" t="n"/>
      <c r="C162" s="34" t="n"/>
      <c r="D162" s="34" t="n"/>
      <c r="E162" s="35" t="n"/>
      <c r="F162" s="35" t="n"/>
      <c r="G162" s="41" t="n"/>
      <c r="H162" s="34" t="n"/>
      <c r="I162" s="36" t="n"/>
      <c r="J162" s="37" t="n"/>
    </row>
    <row r="163" ht="15" customHeight="1" s="62">
      <c r="A163" s="54" t="n"/>
      <c r="B163" s="33" t="n"/>
      <c r="C163" s="34" t="n"/>
      <c r="D163" s="34" t="n"/>
      <c r="E163" s="35" t="n"/>
      <c r="F163" s="35" t="n"/>
      <c r="G163" s="41" t="n"/>
      <c r="H163" s="34" t="n"/>
      <c r="I163" s="36" t="n"/>
      <c r="J163" s="37" t="n"/>
    </row>
    <row r="164" ht="15" customHeight="1" s="62">
      <c r="A164" s="54" t="n"/>
      <c r="B164" s="33" t="n"/>
      <c r="C164" s="34" t="n"/>
      <c r="D164" s="34" t="n"/>
      <c r="E164" s="35" t="n"/>
      <c r="F164" s="35" t="n"/>
      <c r="G164" s="41" t="n"/>
      <c r="H164" s="34" t="n"/>
      <c r="I164" s="36" t="n"/>
      <c r="J164" s="37" t="n"/>
    </row>
    <row r="165" ht="15" customHeight="1" s="62">
      <c r="A165" s="54" t="n"/>
      <c r="B165" s="33" t="n"/>
      <c r="C165" s="34" t="n"/>
      <c r="D165" s="34" t="n"/>
      <c r="E165" s="35" t="n"/>
      <c r="F165" s="35" t="n"/>
      <c r="G165" s="41" t="n"/>
      <c r="H165" s="34" t="n"/>
      <c r="I165" s="36" t="n"/>
      <c r="J165" s="37" t="n"/>
    </row>
    <row r="166" ht="15" customHeight="1" s="62">
      <c r="A166" s="54" t="n"/>
      <c r="B166" s="33" t="n"/>
      <c r="C166" s="34" t="n"/>
      <c r="D166" s="34" t="n"/>
      <c r="E166" s="35" t="n"/>
      <c r="F166" s="35" t="n"/>
      <c r="G166" s="41" t="n"/>
      <c r="H166" s="34" t="n"/>
      <c r="I166" s="36" t="n"/>
      <c r="J166" s="37" t="n"/>
    </row>
    <row r="167" ht="15" customHeight="1" s="62">
      <c r="A167" s="54" t="n"/>
      <c r="B167" s="33" t="n"/>
      <c r="C167" s="34" t="n"/>
      <c r="D167" s="34" t="n"/>
      <c r="E167" s="35" t="n"/>
      <c r="F167" s="35" t="n"/>
      <c r="G167" s="41" t="n"/>
      <c r="H167" s="34" t="n"/>
      <c r="I167" s="36" t="n"/>
      <c r="J167" s="37" t="n"/>
    </row>
    <row r="168" ht="15" customHeight="1" s="62">
      <c r="A168" s="54" t="n"/>
      <c r="B168" s="33" t="n"/>
      <c r="C168" s="34" t="n"/>
      <c r="D168" s="34" t="n"/>
      <c r="E168" s="35" t="n"/>
      <c r="F168" s="35" t="n"/>
      <c r="G168" s="41" t="n"/>
      <c r="H168" s="34" t="n"/>
      <c r="I168" s="36" t="n"/>
      <c r="J168" s="37" t="n"/>
    </row>
    <row r="169" ht="15" customHeight="1" s="62">
      <c r="A169" s="54" t="n"/>
      <c r="B169" s="33" t="n"/>
      <c r="C169" s="34" t="n"/>
      <c r="D169" s="34" t="n"/>
      <c r="E169" s="35" t="n"/>
      <c r="F169" s="35" t="n"/>
      <c r="G169" s="41" t="n"/>
      <c r="H169" s="34" t="n"/>
      <c r="I169" s="36" t="n"/>
      <c r="J169" s="37" t="n"/>
    </row>
    <row r="170" ht="15" customHeight="1" s="62">
      <c r="A170" s="54" t="n"/>
      <c r="B170" s="33" t="n"/>
      <c r="C170" s="34" t="n"/>
      <c r="D170" s="34" t="n"/>
      <c r="E170" s="35" t="n"/>
      <c r="F170" s="35" t="n"/>
      <c r="G170" s="41" t="n"/>
      <c r="H170" s="34" t="n"/>
      <c r="I170" s="36" t="n"/>
      <c r="J170" s="37" t="n"/>
    </row>
    <row r="171" ht="15" customHeight="1" s="62">
      <c r="A171" s="54" t="n"/>
      <c r="B171" s="33" t="n"/>
      <c r="C171" s="34" t="n"/>
      <c r="D171" s="34" t="n"/>
      <c r="E171" s="35" t="n"/>
      <c r="F171" s="35" t="n"/>
      <c r="G171" s="41" t="n"/>
      <c r="H171" s="34" t="n"/>
      <c r="I171" s="36" t="n"/>
      <c r="J171" s="37" t="n"/>
    </row>
    <row r="172" ht="15" customHeight="1" s="62">
      <c r="A172" s="54" t="n"/>
      <c r="B172" s="33" t="n"/>
      <c r="C172" s="34" t="n"/>
      <c r="D172" s="34" t="n"/>
      <c r="E172" s="35" t="n"/>
      <c r="F172" s="35" t="n"/>
      <c r="G172" s="41" t="n"/>
      <c r="H172" s="34" t="n"/>
      <c r="I172" s="36" t="n"/>
      <c r="J172" s="37" t="n"/>
    </row>
    <row r="173" ht="15" customHeight="1" s="62">
      <c r="A173" s="54" t="n"/>
      <c r="B173" s="33" t="n"/>
      <c r="C173" s="34" t="n"/>
      <c r="D173" s="34" t="n"/>
      <c r="E173" s="35" t="n"/>
      <c r="F173" s="35" t="n"/>
      <c r="G173" s="41" t="n"/>
      <c r="H173" s="34" t="n"/>
      <c r="I173" s="36" t="n"/>
      <c r="J173" s="37" t="n"/>
    </row>
    <row r="174" ht="15" customHeight="1" s="62">
      <c r="A174" s="54" t="n"/>
      <c r="B174" s="33" t="n"/>
      <c r="C174" s="34" t="n"/>
      <c r="D174" s="34" t="n"/>
      <c r="E174" s="35" t="n"/>
      <c r="F174" s="35" t="n"/>
      <c r="G174" s="41" t="n"/>
      <c r="H174" s="34" t="n"/>
      <c r="I174" s="36" t="n"/>
      <c r="J174" s="37" t="n"/>
    </row>
    <row r="175" ht="15" customHeight="1" s="62">
      <c r="A175" s="54" t="n"/>
      <c r="B175" s="33" t="n"/>
      <c r="C175" s="34" t="n"/>
      <c r="D175" s="34" t="n"/>
      <c r="E175" s="35" t="n"/>
      <c r="F175" s="35" t="n"/>
      <c r="G175" s="41" t="n"/>
      <c r="H175" s="34" t="n"/>
      <c r="I175" s="36" t="n"/>
      <c r="J175" s="37" t="n"/>
    </row>
    <row r="176" ht="15" customHeight="1" s="62">
      <c r="A176" s="54" t="n"/>
      <c r="B176" s="33" t="n"/>
      <c r="C176" s="34" t="n"/>
      <c r="D176" s="34" t="n"/>
      <c r="E176" s="35" t="n"/>
      <c r="F176" s="35" t="n"/>
      <c r="G176" s="41" t="n"/>
      <c r="H176" s="34" t="n"/>
      <c r="I176" s="36" t="n"/>
      <c r="J176" s="37" t="n"/>
    </row>
    <row r="177" ht="15" customHeight="1" s="62">
      <c r="A177" s="54" t="n"/>
      <c r="B177" s="33" t="n"/>
      <c r="C177" s="34" t="n"/>
      <c r="D177" s="34" t="n"/>
      <c r="E177" s="35" t="n"/>
      <c r="F177" s="35" t="n"/>
      <c r="G177" s="41" t="n"/>
      <c r="H177" s="34" t="n"/>
      <c r="I177" s="36" t="n"/>
      <c r="J177" s="37" t="n"/>
    </row>
    <row r="178" ht="15" customHeight="1" s="62">
      <c r="A178" s="54" t="n"/>
      <c r="B178" s="33" t="n"/>
      <c r="C178" s="34" t="n"/>
      <c r="D178" s="34" t="n"/>
      <c r="E178" s="35" t="n"/>
      <c r="F178" s="35" t="n"/>
      <c r="G178" s="41" t="n"/>
      <c r="H178" s="34" t="n"/>
      <c r="I178" s="36" t="n"/>
      <c r="J178" s="37" t="n"/>
    </row>
    <row r="179" ht="15" customHeight="1" s="62">
      <c r="A179" s="54" t="n"/>
      <c r="B179" s="33" t="n"/>
      <c r="C179" s="34" t="n"/>
      <c r="D179" s="34" t="n"/>
      <c r="E179" s="35" t="n"/>
      <c r="F179" s="35" t="n"/>
      <c r="G179" s="41" t="n"/>
      <c r="H179" s="34" t="n"/>
      <c r="I179" s="36" t="n"/>
      <c r="J179" s="37" t="n"/>
    </row>
    <row r="180" ht="15" customHeight="1" s="62">
      <c r="A180" s="54" t="n"/>
      <c r="B180" s="33" t="n"/>
      <c r="C180" s="34" t="n"/>
      <c r="D180" s="34" t="n"/>
      <c r="E180" s="35" t="n"/>
      <c r="F180" s="35" t="n"/>
      <c r="G180" s="41" t="n"/>
      <c r="H180" s="34" t="n"/>
      <c r="I180" s="36" t="n"/>
      <c r="J180" s="37" t="n"/>
    </row>
    <row r="181" ht="15" customHeight="1" s="62">
      <c r="A181" s="54" t="n"/>
      <c r="B181" s="33" t="n"/>
      <c r="C181" s="34" t="n"/>
      <c r="D181" s="34" t="n"/>
      <c r="E181" s="35" t="n"/>
      <c r="F181" s="35" t="n"/>
      <c r="G181" s="41" t="n"/>
      <c r="H181" s="34" t="n"/>
      <c r="I181" s="36" t="n"/>
      <c r="J181" s="37" t="n"/>
    </row>
    <row r="182" ht="15" customHeight="1" s="62">
      <c r="A182" s="54" t="n"/>
      <c r="B182" s="33" t="n"/>
      <c r="C182" s="34" t="n"/>
      <c r="D182" s="34" t="n"/>
      <c r="E182" s="35" t="n"/>
      <c r="F182" s="35" t="n"/>
      <c r="G182" s="41" t="n"/>
      <c r="H182" s="34" t="n"/>
      <c r="I182" s="36" t="n"/>
      <c r="J182" s="37" t="n"/>
    </row>
    <row r="183" ht="15" customHeight="1" s="62">
      <c r="A183" s="54" t="n"/>
      <c r="B183" s="33" t="n"/>
      <c r="C183" s="34" t="n"/>
      <c r="D183" s="34" t="n"/>
      <c r="E183" s="35" t="n"/>
      <c r="F183" s="35" t="n"/>
      <c r="G183" s="41" t="n"/>
      <c r="H183" s="34" t="n"/>
      <c r="I183" s="36" t="n"/>
      <c r="J183" s="37" t="n"/>
    </row>
    <row r="184" ht="15" customHeight="1" s="62">
      <c r="A184" s="54" t="n"/>
      <c r="B184" s="33" t="n"/>
      <c r="C184" s="34" t="n"/>
      <c r="D184" s="34" t="n"/>
      <c r="E184" s="35" t="n"/>
      <c r="F184" s="35" t="n"/>
      <c r="G184" s="41" t="n"/>
      <c r="H184" s="34" t="n"/>
      <c r="I184" s="36" t="n"/>
      <c r="J184" s="37" t="n"/>
    </row>
    <row r="185" ht="15" customHeight="1" s="62">
      <c r="A185" s="54" t="n"/>
      <c r="B185" s="33" t="n"/>
      <c r="C185" s="34" t="n"/>
      <c r="D185" s="34" t="n"/>
      <c r="E185" s="35" t="n"/>
      <c r="F185" s="35" t="n"/>
      <c r="G185" s="41" t="n"/>
      <c r="H185" s="34" t="n"/>
      <c r="I185" s="36" t="n"/>
      <c r="J185" s="37" t="n"/>
    </row>
    <row r="186" ht="15" customHeight="1" s="62">
      <c r="A186" s="54" t="n"/>
      <c r="B186" s="33" t="n"/>
      <c r="C186" s="34" t="n"/>
      <c r="D186" s="34" t="n"/>
      <c r="E186" s="35" t="n"/>
      <c r="F186" s="35" t="n"/>
      <c r="G186" s="41" t="n"/>
      <c r="H186" s="34" t="n"/>
      <c r="I186" s="36" t="n"/>
      <c r="J186" s="37" t="n"/>
    </row>
    <row r="187" ht="15" customHeight="1" s="62">
      <c r="A187" s="54" t="n"/>
      <c r="B187" s="33" t="n"/>
      <c r="C187" s="34" t="n"/>
      <c r="D187" s="34" t="n"/>
      <c r="E187" s="35" t="n"/>
      <c r="F187" s="35" t="n"/>
      <c r="G187" s="41" t="n"/>
      <c r="H187" s="34" t="n"/>
      <c r="I187" s="36" t="n"/>
      <c r="J187" s="37" t="n"/>
    </row>
    <row r="188" ht="15" customHeight="1" s="62">
      <c r="A188" s="54" t="n"/>
      <c r="B188" s="33" t="n"/>
      <c r="C188" s="34" t="n"/>
      <c r="D188" s="34" t="n"/>
      <c r="E188" s="35" t="n"/>
      <c r="F188" s="35" t="n"/>
      <c r="G188" s="41" t="n"/>
      <c r="H188" s="34" t="n"/>
      <c r="I188" s="36" t="n"/>
      <c r="J188" s="37" t="n"/>
    </row>
    <row r="189" ht="15" customHeight="1" s="62">
      <c r="A189" s="54" t="n"/>
      <c r="B189" s="33" t="n"/>
      <c r="C189" s="34" t="n"/>
      <c r="D189" s="34" t="n"/>
      <c r="E189" s="35" t="n"/>
      <c r="F189" s="35" t="n"/>
      <c r="G189" s="41" t="n"/>
      <c r="H189" s="34" t="n"/>
      <c r="I189" s="36" t="n"/>
      <c r="J189" s="37" t="n"/>
    </row>
    <row r="190" ht="15" customHeight="1" s="62">
      <c r="A190" s="54" t="n"/>
      <c r="B190" s="33" t="n"/>
      <c r="C190" s="34" t="n"/>
      <c r="D190" s="34" t="n"/>
      <c r="E190" s="35" t="n"/>
      <c r="F190" s="35" t="n"/>
      <c r="G190" s="41" t="n"/>
      <c r="H190" s="34" t="n"/>
      <c r="I190" s="36" t="n"/>
      <c r="J190" s="37" t="n"/>
    </row>
    <row r="191" ht="15" customHeight="1" s="62">
      <c r="A191" s="54" t="n"/>
      <c r="B191" s="33" t="n"/>
      <c r="C191" s="34" t="n"/>
      <c r="D191" s="34" t="n"/>
      <c r="E191" s="35" t="n"/>
      <c r="F191" s="35" t="n"/>
      <c r="G191" s="41" t="n"/>
      <c r="H191" s="34" t="n"/>
      <c r="I191" s="36" t="n"/>
      <c r="J191" s="37" t="n"/>
    </row>
    <row r="192" ht="15" customHeight="1" s="62">
      <c r="A192" s="54" t="n"/>
      <c r="B192" s="33" t="n"/>
      <c r="C192" s="34" t="n"/>
      <c r="D192" s="34" t="n"/>
      <c r="E192" s="35" t="n"/>
      <c r="F192" s="35" t="n"/>
      <c r="G192" s="41" t="n"/>
      <c r="H192" s="34" t="n"/>
      <c r="I192" s="36" t="n"/>
      <c r="J192" s="37" t="n"/>
    </row>
    <row r="193" ht="15" customHeight="1" s="62">
      <c r="A193" s="54" t="n"/>
      <c r="B193" s="33" t="n"/>
      <c r="C193" s="34" t="n"/>
      <c r="D193" s="34" t="n"/>
      <c r="E193" s="35" t="n"/>
      <c r="F193" s="35" t="n"/>
      <c r="G193" s="41" t="n"/>
      <c r="H193" s="34" t="n"/>
      <c r="I193" s="36" t="n"/>
      <c r="J193" s="37" t="n"/>
    </row>
    <row r="194" ht="15" customHeight="1" s="62">
      <c r="A194" s="54" t="n"/>
      <c r="B194" s="33" t="n"/>
      <c r="C194" s="34" t="n"/>
      <c r="D194" s="34" t="n"/>
      <c r="E194" s="35" t="n"/>
      <c r="F194" s="35" t="n"/>
      <c r="G194" s="41" t="n"/>
      <c r="H194" s="34" t="n"/>
      <c r="I194" s="36" t="n"/>
      <c r="J194" s="37" t="n"/>
    </row>
    <row r="195" ht="15" customHeight="1" s="62">
      <c r="A195" s="54" t="n"/>
      <c r="B195" s="33" t="n"/>
      <c r="C195" s="34" t="n"/>
      <c r="D195" s="34" t="n"/>
      <c r="E195" s="35" t="n"/>
      <c r="F195" s="35" t="n"/>
      <c r="G195" s="41" t="n"/>
      <c r="H195" s="34" t="n"/>
      <c r="I195" s="36" t="n"/>
      <c r="J195" s="37" t="n"/>
    </row>
    <row r="196" ht="15" customHeight="1" s="62">
      <c r="A196" s="54" t="n"/>
      <c r="B196" s="33" t="n"/>
      <c r="C196" s="34" t="n"/>
      <c r="D196" s="34" t="n"/>
      <c r="E196" s="35" t="n"/>
      <c r="F196" s="35" t="n"/>
      <c r="G196" s="41" t="n"/>
      <c r="H196" s="34" t="n"/>
      <c r="I196" s="36" t="n"/>
      <c r="J196" s="37" t="n"/>
    </row>
    <row r="197" ht="15" customHeight="1" s="62">
      <c r="A197" s="54" t="n"/>
      <c r="B197" s="33" t="n"/>
      <c r="C197" s="34" t="n"/>
      <c r="D197" s="34" t="n"/>
      <c r="E197" s="35" t="n"/>
      <c r="F197" s="35" t="n"/>
      <c r="G197" s="41" t="n"/>
      <c r="H197" s="34" t="n"/>
      <c r="I197" s="36" t="n"/>
      <c r="J197" s="37" t="n"/>
    </row>
    <row r="198" ht="15" customHeight="1" s="62">
      <c r="A198" s="54" t="n"/>
      <c r="B198" s="33" t="n"/>
      <c r="C198" s="34" t="n"/>
      <c r="D198" s="34" t="n"/>
      <c r="E198" s="35" t="n"/>
      <c r="F198" s="35" t="n"/>
      <c r="G198" s="41" t="n"/>
      <c r="H198" s="34" t="n"/>
      <c r="I198" s="36" t="n"/>
      <c r="J198" s="37" t="n"/>
    </row>
    <row r="199" ht="15" customHeight="1" s="62">
      <c r="A199" s="54" t="n"/>
      <c r="B199" s="33" t="n"/>
      <c r="C199" s="34" t="n"/>
      <c r="D199" s="34" t="n"/>
      <c r="E199" s="35" t="n"/>
      <c r="F199" s="35" t="n"/>
      <c r="G199" s="41" t="n"/>
      <c r="H199" s="34" t="n"/>
      <c r="I199" s="36" t="n"/>
      <c r="J199" s="37" t="n"/>
    </row>
    <row r="200" ht="15" customHeight="1" s="62">
      <c r="A200" s="54" t="n"/>
      <c r="B200" s="33" t="n"/>
      <c r="C200" s="34" t="n"/>
      <c r="D200" s="34" t="n"/>
      <c r="E200" s="35" t="n"/>
      <c r="F200" s="35" t="n"/>
      <c r="G200" s="41" t="n"/>
      <c r="H200" s="34" t="n"/>
      <c r="I200" s="36" t="n"/>
      <c r="J200" s="37" t="n"/>
    </row>
    <row r="201" ht="15" customHeight="1" s="62">
      <c r="A201" s="54" t="n"/>
      <c r="B201" s="33" t="n"/>
      <c r="C201" s="34" t="n"/>
      <c r="D201" s="34" t="n"/>
      <c r="E201" s="35" t="n"/>
      <c r="F201" s="35" t="n"/>
      <c r="G201" s="41" t="n"/>
      <c r="H201" s="34" t="n"/>
      <c r="I201" s="36" t="n"/>
      <c r="J201" s="37" t="n"/>
    </row>
    <row r="202" ht="15" customHeight="1" s="62">
      <c r="A202" s="54" t="n"/>
      <c r="B202" s="33" t="n"/>
      <c r="C202" s="34" t="n"/>
      <c r="D202" s="34" t="n"/>
      <c r="E202" s="35" t="n"/>
      <c r="F202" s="35" t="n"/>
      <c r="G202" s="41" t="n"/>
      <c r="H202" s="34" t="n"/>
      <c r="I202" s="36" t="n"/>
      <c r="J202" s="37" t="n"/>
    </row>
    <row r="203" ht="15" customHeight="1" s="62">
      <c r="A203" s="54" t="n"/>
      <c r="B203" s="33" t="n"/>
      <c r="C203" s="34" t="n"/>
      <c r="D203" s="34" t="n"/>
      <c r="E203" s="35" t="n"/>
      <c r="F203" s="35" t="n"/>
      <c r="G203" s="41" t="n"/>
      <c r="H203" s="34" t="n"/>
      <c r="I203" s="36" t="n"/>
      <c r="J203" s="37" t="n"/>
    </row>
    <row r="204" ht="15" customHeight="1" s="62">
      <c r="A204" s="54" t="n"/>
      <c r="B204" s="33" t="n"/>
      <c r="C204" s="34" t="n"/>
      <c r="D204" s="34" t="n"/>
      <c r="E204" s="35" t="n"/>
      <c r="F204" s="35" t="n"/>
      <c r="G204" s="41" t="n"/>
      <c r="H204" s="34" t="n"/>
      <c r="I204" s="36" t="n"/>
      <c r="J204" s="37" t="n"/>
    </row>
    <row r="205" ht="15" customHeight="1" s="62">
      <c r="A205" s="54" t="n"/>
      <c r="B205" s="33" t="n"/>
      <c r="C205" s="34" t="n"/>
      <c r="D205" s="34" t="n"/>
      <c r="E205" s="35" t="n"/>
      <c r="F205" s="35" t="n"/>
      <c r="G205" s="41" t="n"/>
      <c r="H205" s="34" t="n"/>
      <c r="I205" s="36" t="n"/>
      <c r="J205" s="37" t="n"/>
    </row>
    <row r="206" ht="15" customHeight="1" s="62">
      <c r="A206" s="54" t="n"/>
      <c r="B206" s="33" t="n"/>
      <c r="C206" s="34" t="n"/>
      <c r="D206" s="34" t="n"/>
      <c r="E206" s="35" t="n"/>
      <c r="F206" s="35" t="n"/>
      <c r="G206" s="41" t="n"/>
      <c r="H206" s="34" t="n"/>
      <c r="I206" s="36" t="n"/>
      <c r="J206" s="37" t="n"/>
    </row>
    <row r="207" ht="15" customHeight="1" s="62">
      <c r="A207" s="54" t="n"/>
      <c r="B207" s="33" t="n"/>
      <c r="C207" s="34" t="n"/>
      <c r="D207" s="34" t="n"/>
      <c r="E207" s="35" t="n"/>
      <c r="F207" s="35" t="n"/>
      <c r="G207" s="41" t="n"/>
      <c r="H207" s="34" t="n"/>
      <c r="I207" s="36" t="n"/>
      <c r="J207" s="37" t="n"/>
    </row>
  </sheetData>
  <mergeCells count="3">
    <mergeCell ref="A1:J1"/>
    <mergeCell ref="A4:J4"/>
    <mergeCell ref="A2:J2"/>
  </mergeCells>
  <conditionalFormatting sqref="A6:H100">
    <cfRule type="expression" priority="9" dxfId="1">
      <formula>$C6="Monthly Rent Charge"</formula>
    </cfRule>
    <cfRule type="expression" priority="11" dxfId="0">
      <formula>$C6="Payment Received"</formula>
    </cfRule>
  </conditionalFormatting>
  <conditionalFormatting sqref="H3">
    <cfRule type="cellIs" priority="16" operator="lessThan" dxfId="3">
      <formula>0</formula>
    </cfRule>
    <cfRule type="cellIs" priority="17" operator="equal" dxfId="3">
      <formula>0</formula>
    </cfRule>
    <cfRule type="cellIs" priority="18" operator="greaterThan" dxfId="2">
      <formula>0</formula>
    </cfRule>
  </conditionalFormatting>
  <conditionalFormatting sqref="I6:I100">
    <cfRule type="cellIs" priority="13" operator="lessThan" dxfId="3">
      <formula>0</formula>
    </cfRule>
    <cfRule type="cellIs" priority="14" operator="equal" dxfId="3">
      <formula>0</formula>
    </cfRule>
    <cfRule type="cellIs" priority="15" operator="greaterThan" dxfId="2">
      <formula>0</formula>
    </cfRule>
  </conditionalFormatting>
  <conditionalFormatting sqref="J6:J100">
    <cfRule type="expression" priority="10" dxfId="1">
      <formula>$C6="Monthly Rent Charge"</formula>
    </cfRule>
    <cfRule type="expression" priority="12" dxfId="0">
      <formula>$C6="Payment Received"</formula>
    </cfRule>
  </conditionalFormatting>
  <dataValidations count="3">
    <dataValidation sqref="B6:B60" showDropDown="0" showInputMessage="0" showErrorMessage="0" allowBlank="1" type="list">
      <formula1>"January,February,March,April,May,June,July,August,September,October,November,December"</formula1>
      <formula2>0</formula2>
    </dataValidation>
    <dataValidation sqref="C6:C60" showDropDown="0" showInputMessage="0" showErrorMessage="0" allowBlank="1" type="list">
      <formula1>"Monthly Rent Charge,Payment Received"</formula1>
      <formula2>0</formula2>
    </dataValidation>
    <dataValidation sqref="A6:A207" showDropDown="0" showInputMessage="1" showErrorMessage="1" allowBlank="1" errorTitle="Invalid date" error="Please enter a valid date." promptTitle="Select a date" prompt="Use the date picker or enter a valid payment date here." type="date">
      <formula1>DATE(2000,1,1)</formula1>
      <formula2>DATE(2100,12,31)</formula2>
    </dataValidation>
  </dataValidations>
  <pageMargins left="0.25" right="0.25" top="0.75" bottom="0.75" header="0.3" footer="0.3"/>
  <pageSetup orientation="portrait" paperSize="9" scale="49" fitToHeight="0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05"/>
  <sheetViews>
    <sheetView topLeftCell="A16" zoomScaleNormal="100" workbookViewId="0">
      <selection activeCell="J3" sqref="J3"/>
    </sheetView>
  </sheetViews>
  <sheetFormatPr baseColWidth="8" defaultColWidth="8.6640625" defaultRowHeight="14.4"/>
  <cols>
    <col width="14" customWidth="1" style="62" min="1" max="1"/>
    <col width="24" customWidth="1" style="62" min="3" max="3"/>
    <col width="13.44140625" customWidth="1" style="62" min="4" max="4"/>
    <col width="15" customWidth="1" style="62" min="5" max="5"/>
    <col width="17" customWidth="1" style="62" min="6" max="6"/>
    <col width="18" customWidth="1" style="62" min="7" max="7"/>
    <col width="22" customWidth="1" style="62" min="8" max="8"/>
    <col width="17" customWidth="1" style="62" min="9" max="9"/>
    <col width="30" customWidth="1" style="62" min="10" max="10"/>
    <col width="12" customWidth="1" style="62" min="11" max="11"/>
    <col width="10" customWidth="1" style="62" min="12" max="12"/>
  </cols>
  <sheetData>
    <row r="1" ht="19.5" customHeight="1" s="62">
      <c r="A1" s="74" t="inlineStr">
        <is>
          <t>Unit B2 — Tenant Statement / Ledger</t>
        </is>
      </c>
    </row>
    <row r="2" ht="27.75" customHeight="1" s="62">
      <c r="A2" s="76" t="inlineStr">
        <is>
          <t>Select a month to create a Monthly Rent Charge: the date fills as the first day of that month (current year) and description fills automatically. For a payment, leave Month blank and choose Payment Received.</t>
        </is>
      </c>
    </row>
    <row r="3" ht="15" customHeight="1" s="62">
      <c r="A3" s="25" t="inlineStr">
        <is>
          <t>Unit</t>
        </is>
      </c>
      <c r="B3" s="25" t="inlineStr">
        <is>
          <t>B2</t>
        </is>
      </c>
      <c r="C3" s="25" t="inlineStr">
        <is>
          <t>Current Rent</t>
        </is>
      </c>
      <c r="D3" s="26" t="n">
        <v>6000</v>
      </c>
      <c r="E3" s="26" t="inlineStr">
        <is>
          <t>Garbage</t>
        </is>
      </c>
      <c r="F3" s="26" t="n">
        <v>200</v>
      </c>
      <c r="G3" s="25" t="inlineStr">
        <is>
          <t>Current Balance</t>
        </is>
      </c>
      <c r="H3" s="27">
        <f>IFERROR(LOOKUP(9.99E+307,I6:I41),0)</f>
        <v/>
      </c>
      <c r="I3" s="25" t="inlineStr">
        <is>
          <t>Tenant</t>
        </is>
      </c>
      <c r="J3" s="28" t="inlineStr">
        <is>
          <t>ANITA NYAKUNDI / DAVID ODHIAMBO</t>
        </is>
      </c>
      <c r="K3" s="29" t="inlineStr">
        <is>
          <t>Deposit Held</t>
        </is>
      </c>
      <c r="L3" s="30" t="n">
        <v>1000</v>
      </c>
    </row>
    <row r="4">
      <c r="A4" s="75" t="inlineStr">
        <is>
          <t>Current tenant only. When vacating → copy rows to Archive sheet, then clear this ledger.</t>
        </is>
      </c>
    </row>
    <row r="5" ht="15" customHeight="1" s="62">
      <c r="A5" s="31" t="inlineStr">
        <is>
          <t>Date</t>
        </is>
      </c>
      <c r="B5" s="31" t="inlineStr">
        <is>
          <t>Month</t>
        </is>
      </c>
      <c r="C5" s="31" t="inlineStr">
        <is>
          <t>Description</t>
        </is>
      </c>
      <c r="D5" s="31" t="inlineStr">
        <is>
          <t>Tenant</t>
        </is>
      </c>
      <c r="E5" s="31" t="inlineStr">
        <is>
          <t>Rent Charged</t>
        </is>
      </c>
      <c r="F5" s="31" t="inlineStr">
        <is>
          <t>Garbage Charged</t>
        </is>
      </c>
      <c r="G5" s="31" t="inlineStr">
        <is>
          <t>Payment Received</t>
        </is>
      </c>
      <c r="H5" s="31" t="inlineStr">
        <is>
          <t>M-Pesa Reference</t>
        </is>
      </c>
      <c r="I5" s="31" t="inlineStr">
        <is>
          <t>Running Balance</t>
        </is>
      </c>
      <c r="J5" s="31" t="inlineStr">
        <is>
          <t>Remarks</t>
        </is>
      </c>
    </row>
    <row r="6" ht="15" customHeight="1" s="62">
      <c r="A6" s="54" t="n">
        <v>45901</v>
      </c>
      <c r="B6" s="33" t="inlineStr">
        <is>
          <t>September</t>
        </is>
      </c>
      <c r="C6" s="34">
        <f>IF(B6="","","Monthly Rent Charge")</f>
        <v/>
      </c>
      <c r="D6" s="34" t="n"/>
      <c r="E6" s="35">
        <f>IF(C6="Monthly Rent Charge",$D$3,"")</f>
        <v/>
      </c>
      <c r="F6" s="35">
        <f>IF(C6="Monthly Rent Charge",$F$3,"")</f>
        <v/>
      </c>
      <c r="G6" s="41" t="n"/>
      <c r="H6" s="34" t="n"/>
      <c r="I6" s="36">
        <f>IF(A6="","",IF(C6="Payment Received",-IFERROR(G6,0),IF(C6="Monthly Rent Charge",IFERROR(E6,0)+IFERROR(F6,0),0)))</f>
        <v/>
      </c>
      <c r="J6" s="37" t="n"/>
    </row>
    <row r="7" ht="15" customHeight="1" s="62">
      <c r="A7" s="53" t="n">
        <v>45908</v>
      </c>
      <c r="B7" s="33" t="n"/>
      <c r="C7" s="34" t="inlineStr">
        <is>
          <t>Payment Received</t>
        </is>
      </c>
      <c r="D7" s="34" t="n"/>
      <c r="E7" s="35">
        <f>IF(C7="Monthly Rent Charge",$D$3,"")</f>
        <v/>
      </c>
      <c r="F7" s="35">
        <f>IF(C7="Monthly Rent Charge",$F$3,"")</f>
        <v/>
      </c>
      <c r="G7" s="41" t="n">
        <v>6200</v>
      </c>
      <c r="H7" s="39" t="inlineStr">
        <is>
          <t>TI831503H7</t>
        </is>
      </c>
      <c r="I7" s="36">
        <f>IF(A7="","",IF(C7="Payment Received",I6-IFERROR(G7,0),IF(C7="Monthly Rent Charge",I6+IFERROR(E7,0)+IFERROR(F7,0),I6)))</f>
        <v/>
      </c>
      <c r="J7" s="37" t="n"/>
    </row>
    <row r="8" ht="15" customHeight="1" s="62">
      <c r="A8" s="54" t="n">
        <v>45931</v>
      </c>
      <c r="B8" s="33" t="inlineStr">
        <is>
          <t>October</t>
        </is>
      </c>
      <c r="C8" s="34">
        <f>IF(B8="","","Monthly Rent Charge")</f>
        <v/>
      </c>
      <c r="D8" s="34" t="n"/>
      <c r="E8" s="35">
        <f>IF(C8="Monthly Rent Charge",$D$3,"")</f>
        <v/>
      </c>
      <c r="F8" s="35">
        <f>IF(C8="Monthly Rent Charge",$F$3,"")</f>
        <v/>
      </c>
      <c r="G8" s="41" t="n"/>
      <c r="H8" s="34" t="n"/>
      <c r="I8" s="36">
        <f>IF(A8="","",IF(C8="Payment Received",I7-IFERROR(G8,0),IF(C8="Monthly Rent Charge",I7+IFERROR(E8,0)+IFERROR(F8,0),I7)))</f>
        <v/>
      </c>
      <c r="J8" s="37" t="n"/>
    </row>
    <row r="9" ht="15" customHeight="1" s="62">
      <c r="A9" s="53" t="n">
        <v>45938</v>
      </c>
      <c r="B9" s="33" t="n"/>
      <c r="C9" s="34" t="inlineStr">
        <is>
          <t>Payment Received</t>
        </is>
      </c>
      <c r="D9" s="34" t="n"/>
      <c r="E9" s="35">
        <f>IF(C9="Monthly Rent Charge",$D$3,"")</f>
        <v/>
      </c>
      <c r="F9" s="35">
        <f>IF(C9="Monthly Rent Charge",$F$3,"")</f>
        <v/>
      </c>
      <c r="G9" s="41" t="n">
        <v>6200</v>
      </c>
      <c r="H9" s="39" t="inlineStr">
        <is>
          <t>TJ8A66UNIJ</t>
        </is>
      </c>
      <c r="I9" s="36">
        <f>IF(A9="","",IF(C9="Payment Received",I8-IFERROR(G9,0),IF(C9="Monthly Rent Charge",I8+IFERROR(E9,0)+IFERROR(F9,0),I8)))</f>
        <v/>
      </c>
      <c r="J9" s="37" t="n"/>
    </row>
    <row r="10" ht="15" customHeight="1" s="62">
      <c r="A10" s="54" t="n">
        <v>45962</v>
      </c>
      <c r="B10" s="33" t="inlineStr">
        <is>
          <t>November</t>
        </is>
      </c>
      <c r="C10" s="34">
        <f>IF(B10="","","Monthly Rent Charge")</f>
        <v/>
      </c>
      <c r="D10" s="34" t="n"/>
      <c r="E10" s="35">
        <f>IF(C10="Monthly Rent Charge",$D$3,"")</f>
        <v/>
      </c>
      <c r="F10" s="35">
        <f>IF(C10="Monthly Rent Charge",$F$3,"")</f>
        <v/>
      </c>
      <c r="G10" s="41" t="n"/>
      <c r="H10" s="34" t="n"/>
      <c r="I10" s="36">
        <f>IF(A10="","",IF(C10="Payment Received",I9-IFERROR(G10,0),IF(C10="Monthly Rent Charge",I9+IFERROR(E10,0)+IFERROR(F10,0),I9)))</f>
        <v/>
      </c>
      <c r="J10" s="37" t="n"/>
    </row>
    <row r="11" ht="15" customHeight="1" s="62">
      <c r="A11" s="53" t="n">
        <v>45991</v>
      </c>
      <c r="B11" s="33" t="n"/>
      <c r="C11" s="34" t="inlineStr">
        <is>
          <t>Payment Received</t>
        </is>
      </c>
      <c r="D11" s="34" t="n"/>
      <c r="E11" s="35">
        <f>IF(C11="Monthly Rent Charge",$D$3,"")</f>
        <v/>
      </c>
      <c r="F11" s="35">
        <f>IF(C11="Monthly Rent Charge",$F$3,"")</f>
        <v/>
      </c>
      <c r="G11" s="41" t="n">
        <v>6200</v>
      </c>
      <c r="H11" s="39" t="inlineStr">
        <is>
          <t>TK9R59LY8Q</t>
        </is>
      </c>
      <c r="I11" s="36">
        <f>IF(A11="","",IF(C11="Payment Received",I10-IFERROR(G11,0),IF(C11="Monthly Rent Charge",I10+IFERROR(E11,0)+IFERROR(F11,0),I10)))</f>
        <v/>
      </c>
      <c r="J11" s="37" t="n"/>
    </row>
    <row r="12" ht="15" customHeight="1" s="62">
      <c r="A12" s="54" t="n">
        <v>45992</v>
      </c>
      <c r="B12" s="33" t="inlineStr">
        <is>
          <t>December</t>
        </is>
      </c>
      <c r="C12" s="34">
        <f>IF(B12="","","Monthly Rent Charge")</f>
        <v/>
      </c>
      <c r="D12" s="34" t="n"/>
      <c r="E12" s="35">
        <f>IF(C12="Monthly Rent Charge",$D$3,"")</f>
        <v/>
      </c>
      <c r="F12" s="35">
        <f>IF(C12="Monthly Rent Charge",$F$3,"")</f>
        <v/>
      </c>
      <c r="G12" s="41" t="n"/>
      <c r="H12" s="34" t="n"/>
      <c r="I12" s="36">
        <f>IF(A12="","",IF(C12="Payment Received",I11-IFERROR(G12,0),IF(C12="Monthly Rent Charge",I11+IFERROR(E12,0)+IFERROR(F12,0),I11)))</f>
        <v/>
      </c>
      <c r="J12" s="37" t="n"/>
    </row>
    <row r="13" ht="15" customHeight="1" s="62">
      <c r="A13" s="53" t="n">
        <v>45998</v>
      </c>
      <c r="B13" s="33" t="n"/>
      <c r="C13" s="34" t="inlineStr">
        <is>
          <t>Payment Received</t>
        </is>
      </c>
      <c r="D13" s="34" t="n"/>
      <c r="E13" s="35">
        <f>IF(C13="Monthly Rent Charge",$D$3,"")</f>
        <v/>
      </c>
      <c r="F13" s="35">
        <f>IF(C13="Monthly Rent Charge",$F$3,"")</f>
        <v/>
      </c>
      <c r="G13" s="41" t="n">
        <v>6200</v>
      </c>
      <c r="H13" s="39" t="inlineStr">
        <is>
          <t>TL7A6OB9T4</t>
        </is>
      </c>
      <c r="I13" s="36">
        <f>IF(A13="","",IF(C13="Payment Received",I12-IFERROR(G13,0),IF(C13="Monthly Rent Charge",I12+IFERROR(E13,0)+IFERROR(F13,0),I12)))</f>
        <v/>
      </c>
      <c r="J13" s="37" t="n"/>
    </row>
    <row r="14" ht="15" customHeight="1" s="62">
      <c r="A14" s="54">
        <f>IF(B14="","",DATE(YEAR(TODAY()),MATCH(B14,{"January","February","March","April","May","June","July","August","September","October","November","December"},0),1))</f>
        <v/>
      </c>
      <c r="B14" s="33" t="inlineStr">
        <is>
          <t>January</t>
        </is>
      </c>
      <c r="C14" s="34">
        <f>IF(B14="","","Monthly Rent Charge")</f>
        <v/>
      </c>
      <c r="D14" s="34" t="n"/>
      <c r="E14" s="35">
        <f>IF(C14="Monthly Rent Charge",$D$3,"")</f>
        <v/>
      </c>
      <c r="F14" s="35">
        <f>IF(C14="Monthly Rent Charge",$F$3,"")</f>
        <v/>
      </c>
      <c r="G14" s="41" t="n"/>
      <c r="H14" s="34" t="n"/>
      <c r="I14" s="36">
        <f>IF(A14="","",IF(C14="Payment Received",I13-IFERROR(G14,0),IF(C14="Monthly Rent Charge",I13+IFERROR(E14,0)+IFERROR(F14,0),I13)))</f>
        <v/>
      </c>
      <c r="J14" s="37" t="n"/>
    </row>
    <row r="15" ht="15" customHeight="1" s="62">
      <c r="A15" s="53" t="n">
        <v>46031</v>
      </c>
      <c r="B15" s="33" t="n"/>
      <c r="C15" s="34" t="inlineStr">
        <is>
          <t>Payment Received</t>
        </is>
      </c>
      <c r="D15" s="34" t="n"/>
      <c r="E15" s="35">
        <f>IF(C15="Monthly Rent Charge",$D$3,"")</f>
        <v/>
      </c>
      <c r="F15" s="35">
        <f>IF(C15="Monthly Rent Charge",$F$3,"")</f>
        <v/>
      </c>
      <c r="G15" s="41" t="n">
        <v>6200</v>
      </c>
      <c r="H15" s="39" t="inlineStr">
        <is>
          <t>UA9A638STU</t>
        </is>
      </c>
      <c r="I15" s="36">
        <f>IF(A15="","",IF(C15="Payment Received",I14-IFERROR(G15,0),IF(C15="Monthly Rent Charge",I14+IFERROR(E15,0)+IFERROR(F15,0),I14)))</f>
        <v/>
      </c>
      <c r="J15" s="37" t="n"/>
    </row>
    <row r="16" ht="15" customHeight="1" s="62">
      <c r="A16" s="54">
        <f>IF(B16="","",DATE(YEAR(TODAY()),MATCH(B16,{"January","February","March","April","May","June","July","August","September","October","November","December"},0),1))</f>
        <v/>
      </c>
      <c r="B16" s="33" t="inlineStr">
        <is>
          <t>February</t>
        </is>
      </c>
      <c r="C16" s="34">
        <f>IF(B16="","","Monthly Rent Charge")</f>
        <v/>
      </c>
      <c r="D16" s="34" t="n"/>
      <c r="E16" s="35">
        <f>IF(C16="Monthly Rent Charge",$D$3,"")</f>
        <v/>
      </c>
      <c r="F16" s="35">
        <f>IF(C16="Monthly Rent Charge",$F$3,"")</f>
        <v/>
      </c>
      <c r="G16" s="41" t="n"/>
      <c r="H16" s="34" t="n"/>
      <c r="I16" s="36">
        <f>IF(A16="","",IF(C16="Payment Received",I15-IFERROR(G16,0),IF(C16="Monthly Rent Charge",I15+IFERROR(E16,0)+IFERROR(F16,0),I15)))</f>
        <v/>
      </c>
      <c r="J16" s="37" t="n"/>
    </row>
    <row r="17" ht="15" customHeight="1" s="62">
      <c r="A17" s="53" t="n">
        <v>46061</v>
      </c>
      <c r="B17" s="33" t="n"/>
      <c r="C17" s="34" t="inlineStr">
        <is>
          <t>Payment Received</t>
        </is>
      </c>
      <c r="D17" s="34" t="n"/>
      <c r="E17" s="35">
        <f>IF(C17="Monthly Rent Charge",$D$3,"")</f>
        <v/>
      </c>
      <c r="F17" s="35">
        <f>IF(C17="Monthly Rent Charge",$F$3,"")</f>
        <v/>
      </c>
      <c r="G17" s="41" t="n">
        <v>6200</v>
      </c>
      <c r="H17" s="39" t="inlineStr">
        <is>
          <t>UB8A661JMU</t>
        </is>
      </c>
      <c r="I17" s="36">
        <f>IF(A17="","",IF(C17="Payment Received",I16-IFERROR(G17,0),IF(C17="Monthly Rent Charge",I16+IFERROR(E17,0)+IFERROR(F17,0),I16)))</f>
        <v/>
      </c>
      <c r="J17" s="37" t="n"/>
    </row>
    <row r="18" ht="15" customHeight="1" s="62">
      <c r="A18" s="54">
        <f>IF(B18="","",DATE(YEAR(TODAY()),MATCH(B18,{"January","February","March","April","May","June","July","August","September","October","November","December"},0),1))</f>
        <v/>
      </c>
      <c r="B18" s="33" t="inlineStr">
        <is>
          <t>March</t>
        </is>
      </c>
      <c r="C18" s="34">
        <f>IF(B18="","","Monthly Rent Charge")</f>
        <v/>
      </c>
      <c r="D18" s="34" t="n"/>
      <c r="E18" s="35">
        <f>IF(C18="Monthly Rent Charge",$D$3,"")</f>
        <v/>
      </c>
      <c r="F18" s="35">
        <f>IF(C18="Monthly Rent Charge",$F$3,"")</f>
        <v/>
      </c>
      <c r="G18" s="41" t="n"/>
      <c r="H18" s="34" t="n"/>
      <c r="I18" s="36">
        <f>IF(A18="","",IF(C18="Payment Received",I17-IFERROR(G18,0),IF(C18="Monthly Rent Charge",I17+IFERROR(E18,0)+IFERROR(F18,0),I17)))</f>
        <v/>
      </c>
      <c r="J18" s="37" t="n"/>
    </row>
    <row r="19" ht="15" customHeight="1" s="62">
      <c r="A19" s="53" t="n">
        <v>46091</v>
      </c>
      <c r="B19" s="33" t="n"/>
      <c r="C19" s="34" t="inlineStr">
        <is>
          <t>Payment Received</t>
        </is>
      </c>
      <c r="D19" s="34" t="n"/>
      <c r="E19" s="35">
        <f>IF(C19="Monthly Rent Charge",$D$3,"")</f>
        <v/>
      </c>
      <c r="F19" s="35">
        <f>IF(C19="Monthly Rent Charge",$F$3,"")</f>
        <v/>
      </c>
      <c r="G19" s="41" t="n">
        <v>6200</v>
      </c>
      <c r="H19" s="39" t="inlineStr">
        <is>
          <t>UCADZ8VRNX</t>
        </is>
      </c>
      <c r="I19" s="36">
        <f>IF(A19="","",IF(C19="Payment Received",I18-IFERROR(G19,0),IF(C19="Monthly Rent Charge",I18+IFERROR(E19,0)+IFERROR(F19,0),I18)))</f>
        <v/>
      </c>
      <c r="J19" s="37" t="n"/>
    </row>
    <row r="20" ht="15" customHeight="1" s="62">
      <c r="A20" s="54">
        <f>IF(B20="","",DATE(YEAR(TODAY()),MATCH(B20,{"January","February","March","April","May","June","July","August","September","October","November","December"},0),1))</f>
        <v/>
      </c>
      <c r="B20" s="33" t="inlineStr">
        <is>
          <t>April</t>
        </is>
      </c>
      <c r="C20" s="34">
        <f>IF(B20="","","Monthly Rent Charge")</f>
        <v/>
      </c>
      <c r="D20" s="34" t="n"/>
      <c r="E20" s="35">
        <f>IF(C20="Monthly Rent Charge",$D$3,"")</f>
        <v/>
      </c>
      <c r="F20" s="35">
        <f>IF(C20="Monthly Rent Charge",$F$3,"")</f>
        <v/>
      </c>
      <c r="G20" s="41" t="n"/>
      <c r="H20" s="34" t="n"/>
      <c r="I20" s="36">
        <f>IF(A20="","",IF(C20="Payment Received",I19-IFERROR(G20,0),IF(C20="Monthly Rent Charge",I19+IFERROR(E20,0)+IFERROR(F20,0),I19)))</f>
        <v/>
      </c>
      <c r="J20" s="37" t="n"/>
    </row>
    <row r="21" ht="15" customHeight="1" s="62">
      <c r="A21" s="53" t="n">
        <v>46121</v>
      </c>
      <c r="B21" s="33" t="n"/>
      <c r="C21" s="34" t="inlineStr">
        <is>
          <t>Payment Received</t>
        </is>
      </c>
      <c r="D21" s="34" t="n"/>
      <c r="E21" s="35">
        <f>IF(C21="Monthly Rent Charge",$D$3,"")</f>
        <v/>
      </c>
      <c r="F21" s="35">
        <f>IF(C21="Monthly Rent Charge",$F$3,"")</f>
        <v/>
      </c>
      <c r="G21" s="41" t="n">
        <v>6200</v>
      </c>
      <c r="H21" s="39" t="inlineStr">
        <is>
          <t>UD9DZ085WS</t>
        </is>
      </c>
      <c r="I21" s="36">
        <f>IF(A21="","",IF(C21="Payment Received",I20-IFERROR(G21,0),IF(C21="Monthly Rent Charge",I20+IFERROR(E21,0)+IFERROR(F21,0),I20)))</f>
        <v/>
      </c>
      <c r="J21" s="37" t="n"/>
    </row>
    <row r="22" ht="15" customHeight="1" s="62">
      <c r="A22" s="54">
        <f>IF(B22="","",DATE(YEAR(TODAY()),MATCH(B22,{"January","February","March","April","May","June","July","August","September","October","November","December"},0),1))</f>
        <v/>
      </c>
      <c r="B22" s="33" t="inlineStr">
        <is>
          <t>May</t>
        </is>
      </c>
      <c r="C22" s="34">
        <f>IF(B22="","","Monthly Rent Charge")</f>
        <v/>
      </c>
      <c r="D22" s="34" t="n"/>
      <c r="E22" s="35">
        <f>IF(C22="Monthly Rent Charge",$D$3,"")</f>
        <v/>
      </c>
      <c r="F22" s="35">
        <f>IF(C22="Monthly Rent Charge",$F$3,"")</f>
        <v/>
      </c>
      <c r="G22" s="41" t="n"/>
      <c r="H22" s="34" t="n"/>
      <c r="I22" s="36">
        <f>IF(AND(A22="",C22=""),"",IF(C22="Payment Received",I21-IFERROR(G22,0),IF(C22="Monthly Rent Charge",I21+IFERROR(E22,0)+IFERROR(F22,0),I21)))</f>
        <v/>
      </c>
      <c r="J22" s="37" t="n"/>
    </row>
    <row r="23" ht="15" customHeight="1" s="62">
      <c r="A23" s="54" t="n">
        <v>46150</v>
      </c>
      <c r="B23" s="33" t="n"/>
      <c r="C23" s="34" t="inlineStr">
        <is>
          <t>Payment Received</t>
        </is>
      </c>
      <c r="D23" s="34" t="n"/>
      <c r="E23" s="35">
        <f>IF(C23="Monthly Rent Charge",$D$3,"")</f>
        <v/>
      </c>
      <c r="F23" s="35">
        <f>IF(C23="Monthly Rent Charge",$F$3,"")</f>
        <v/>
      </c>
      <c r="G23" s="41" t="n">
        <v>6200</v>
      </c>
      <c r="H23" s="34" t="inlineStr">
        <is>
          <t>UE8DZ3MMZ0</t>
        </is>
      </c>
      <c r="I23" s="36">
        <f>IF(AND(A23="",C23=""),"",IF(C23="Payment Received",I22-IFERROR(G23,0),IF(C23="Monthly Rent Charge",I22+IFERROR(E23,0)+IFERROR(F23,0),I22)))</f>
        <v/>
      </c>
      <c r="J23" s="37" t="n"/>
    </row>
    <row r="24" ht="15" customHeight="1" s="62">
      <c r="A24" s="54">
        <f>IF(B24="","",DATE(YEAR(TODAY()),MATCH(B24,{"January","February","March","April","May","June","July","August","September","October","November","December"},0),1))</f>
        <v/>
      </c>
      <c r="B24" s="33" t="inlineStr">
        <is>
          <t>June</t>
        </is>
      </c>
      <c r="C24" s="34">
        <f>IF(B24="","","Monthly Rent Charge")</f>
        <v/>
      </c>
      <c r="D24" s="34" t="n"/>
      <c r="E24" s="35">
        <f>IF(C24="Monthly Rent Charge",$D$3,"")</f>
        <v/>
      </c>
      <c r="F24" s="35">
        <f>IF(C24="Monthly Rent Charge",$F$3,"")</f>
        <v/>
      </c>
      <c r="G24" s="41" t="n"/>
      <c r="H24" s="34" t="n"/>
      <c r="I24" s="36">
        <f>IF(AND(A24="",C24=""),"",IF(C24="Payment Received",I23-IFERROR(G24,0),IF(C24="Monthly Rent Charge",I23+IFERROR(E24,0)+IFERROR(F24,0),I23)))</f>
        <v/>
      </c>
      <c r="J24" s="37" t="n"/>
    </row>
    <row r="25" ht="15" customHeight="1" s="62">
      <c r="A25" s="54" t="n">
        <v>46211</v>
      </c>
      <c r="B25" s="33" t="n"/>
      <c r="C25" s="34" t="inlineStr">
        <is>
          <t>Payment Received</t>
        </is>
      </c>
      <c r="D25" s="34" t="n"/>
      <c r="E25" s="35">
        <f>IF(C25="Monthly Rent Charge",$D$3,"")</f>
        <v/>
      </c>
      <c r="F25" s="35">
        <f>IF(C25="Monthly Rent Charge",$F$3,"")</f>
        <v/>
      </c>
      <c r="G25" s="41" t="n">
        <v>6200</v>
      </c>
      <c r="H25" s="34" t="inlineStr">
        <is>
          <t>UF8DZ75XWF</t>
        </is>
      </c>
      <c r="I25" s="36">
        <f>IF(AND(A25="",C25=""),"",IF(C25="Payment Received",I24-IFERROR(G25,0),IF(C25="Monthly Rent Charge",I24+IFERROR(E25,0)+IFERROR(F25,0),I24)))</f>
        <v/>
      </c>
      <c r="J25" s="37" t="n"/>
    </row>
    <row r="26" ht="15" customHeight="1" s="62">
      <c r="A26" s="54">
        <f>IF(B26="","",DATE(YEAR(TODAY()),MATCH(B26,{"January","February","March","April","May","June","July","August","September","October","November","December"},0),1))</f>
        <v/>
      </c>
      <c r="B26" s="33" t="inlineStr">
        <is>
          <t>July</t>
        </is>
      </c>
      <c r="C26" s="34">
        <f>IF(B26="","","Monthly Rent Charge")</f>
        <v/>
      </c>
      <c r="D26" s="34" t="n"/>
      <c r="E26" s="35">
        <f>IF(C26="Monthly Rent Charge",$D$3,"")</f>
        <v/>
      </c>
      <c r="F26" s="35">
        <f>IF(C26="Monthly Rent Charge",$F$3,"")</f>
        <v/>
      </c>
      <c r="G26" s="41" t="n"/>
      <c r="H26" s="34" t="n"/>
      <c r="I26" s="36">
        <f>IF(AND(A26="",C26=""),"",IF(C26="Payment Received",I25-IFERROR(G26,0),IF(C26="Monthly Rent Charge",I25+IFERROR(E26,0)+IFERROR(F26,0),I25)))</f>
        <v/>
      </c>
      <c r="J26" s="37" t="n"/>
    </row>
    <row r="27" ht="15" customHeight="1" s="62">
      <c r="A27" s="54" t="n">
        <v>46210</v>
      </c>
      <c r="B27" s="33" t="n"/>
      <c r="C27" s="34" t="inlineStr">
        <is>
          <t>Payment Received</t>
        </is>
      </c>
      <c r="D27" s="34" t="n"/>
      <c r="E27" s="35">
        <f>IF(C27="Monthly Rent Charge",$D$3,"")</f>
        <v/>
      </c>
      <c r="F27" s="35">
        <f>IF(C27="Monthly Rent Charge",$F$3,"")</f>
        <v/>
      </c>
      <c r="G27" s="41" t="n">
        <v>6200</v>
      </c>
      <c r="H27" s="34" t="inlineStr">
        <is>
          <t>UG7DZAKJEO</t>
        </is>
      </c>
      <c r="I27" s="36">
        <f>IF(AND(A27="",C27=""),"",IF(C27="Payment Received",I26-IFERROR(G27,0),IF(C27="Monthly Rent Charge",I26+IFERROR(E27,0)+IFERROR(F27,0),IFERROR(I26,0))))</f>
        <v/>
      </c>
      <c r="J27" s="37" t="n"/>
    </row>
    <row r="28" ht="15" customHeight="1" s="62">
      <c r="A28" s="54">
        <f>IF(B28="","",DATE(YEAR(TODAY()),MATCH(B28,{"January","February","March","April","May","June","July","August","September","October","November","December"},0),1))</f>
        <v/>
      </c>
      <c r="B28" s="33" t="inlineStr">
        <is>
          <t>August</t>
        </is>
      </c>
      <c r="C28" s="34">
        <f>IF(B28="","","Monthly Rent Charge")</f>
        <v/>
      </c>
      <c r="D28" s="34" t="n"/>
      <c r="E28" s="35">
        <f>IF(C28="Monthly Rent Charge",$D$3,"")</f>
        <v/>
      </c>
      <c r="F28" s="35">
        <f>IF(C28="Monthly Rent Charge",$F$3,"")</f>
        <v/>
      </c>
      <c r="G28" s="41" t="n"/>
      <c r="H28" s="34" t="n"/>
      <c r="I28" s="36">
        <f>IF(AND(A28="",C28=""),"",IF(C28="Payment Received",I27-IFERROR(G28,0),IF(C28="Monthly Rent Charge",I27+IFERROR(E28,0)+IFERROR(F28,0),IFERROR(I27,0))))</f>
        <v/>
      </c>
      <c r="J28" s="37" t="n"/>
    </row>
    <row r="29" ht="15" customHeight="1" s="62">
      <c r="A29" s="54" t="n">
        <v>46240</v>
      </c>
      <c r="B29" s="33" t="n"/>
      <c r="C29" s="34" t="inlineStr">
        <is>
          <t>Payment Received</t>
        </is>
      </c>
      <c r="D29" s="34" t="n"/>
      <c r="E29" s="35">
        <f>IF(C29="Monthly Rent Charge",$D$3,"")</f>
        <v/>
      </c>
      <c r="F29" s="35">
        <f>IF(C29="Monthly Rent Charge",$F$3,"")</f>
        <v/>
      </c>
      <c r="G29" s="41" t="n">
        <v>6200</v>
      </c>
      <c r="H29" s="34" t="inlineStr">
        <is>
          <t>UH6DZ2177G</t>
        </is>
      </c>
      <c r="I29" s="36">
        <f>IF(AND(A29="",C29=""),"",IF(C29="Payment Received",I28-IFERROR(G29,0),IF(C29="Monthly Rent Charge",I28+IFERROR(E29,0)+IFERROR(F29,0),IFERROR(I28,0))))</f>
        <v/>
      </c>
      <c r="J29" s="37" t="n"/>
    </row>
    <row r="30" ht="15" customHeight="1" s="62">
      <c r="A30" s="54">
        <f>IF(B30="","",DATE(YEAR(TODAY()),MATCH(B30,{"January","February","March","April","May","June","July","August","September","October","November","December"},0),1))</f>
        <v/>
      </c>
      <c r="B30" s="33" t="n"/>
      <c r="C30" s="34">
        <f>IF(B30="","","Monthly Rent Charge")</f>
        <v/>
      </c>
      <c r="D30" s="34" t="n"/>
      <c r="E30" s="35">
        <f>IF(C30="Monthly Rent Charge",$D$3,"")</f>
        <v/>
      </c>
      <c r="F30" s="35">
        <f>IF(C30="Monthly Rent Charge",$F$3,"")</f>
        <v/>
      </c>
      <c r="G30" s="41" t="n"/>
      <c r="H30" s="34" t="n"/>
      <c r="I30" s="36">
        <f>IF(AND(A30="",C30=""),"",IF(C30="Payment Received",I29-IFERROR(G30,0),IF(C30="Monthly Rent Charge",I29+IFERROR(E30,0)+IFERROR(F30,0),IFERROR(I29,0))))</f>
        <v/>
      </c>
      <c r="J30" s="37" t="n"/>
    </row>
    <row r="31" ht="15" customHeight="1" s="62">
      <c r="A31" s="54">
        <f>IF(B31="","",DATE(YEAR(TODAY()),MATCH(B31,{"January","February","March","April","May","June","July","August","September","October","November","December"},0),1))</f>
        <v/>
      </c>
      <c r="B31" s="33" t="n"/>
      <c r="C31" s="34">
        <f>IF(B31="","","Monthly Rent Charge")</f>
        <v/>
      </c>
      <c r="D31" s="34" t="n"/>
      <c r="E31" s="35">
        <f>IF(C31="Monthly Rent Charge",$D$3,"")</f>
        <v/>
      </c>
      <c r="F31" s="35">
        <f>IF(C31="Monthly Rent Charge",$F$3,"")</f>
        <v/>
      </c>
      <c r="G31" s="41" t="n"/>
      <c r="H31" s="34" t="n"/>
      <c r="I31" s="36">
        <f>IF(AND(A31="",C31=""),"",IF(C31="Payment Received",I30-IFERROR(G31,0),IF(C31="Monthly Rent Charge",I30+IFERROR(E31,0)+IFERROR(F31,0),IFERROR(I30,0))))</f>
        <v/>
      </c>
      <c r="J31" s="37" t="n"/>
    </row>
    <row r="32" ht="15" customHeight="1" s="62">
      <c r="A32" s="54">
        <f>IF(B32="","",DATE(YEAR(TODAY()),MATCH(B32,{"January","February","March","April","May","June","July","August","September","October","November","December"},0),1))</f>
        <v/>
      </c>
      <c r="B32" s="33" t="n"/>
      <c r="C32" s="34">
        <f>IF(B32="","","Monthly Rent Charge")</f>
        <v/>
      </c>
      <c r="D32" s="34" t="n"/>
      <c r="E32" s="35">
        <f>IF(C32="Monthly Rent Charge",$D$3,"")</f>
        <v/>
      </c>
      <c r="F32" s="35">
        <f>IF(C32="Monthly Rent Charge",$F$3,"")</f>
        <v/>
      </c>
      <c r="G32" s="41" t="n"/>
      <c r="H32" s="34" t="n"/>
      <c r="I32" s="36">
        <f>IF(AND(A32="",C32=""),"",IF(C32="Payment Received",I31-IFERROR(G32,0),IF(C32="Monthly Rent Charge",I31+IFERROR(E32,0)+IFERROR(F32,0),IFERROR(I31,0))))</f>
        <v/>
      </c>
      <c r="J32" s="37" t="n"/>
    </row>
    <row r="33" ht="15" customHeight="1" s="62">
      <c r="A33" s="54">
        <f>IF(B33="","",DATE(YEAR(TODAY()),MATCH(B33,{"January","February","March","April","May","June","July","August","September","October","November","December"},0),1))</f>
        <v/>
      </c>
      <c r="B33" s="33" t="n"/>
      <c r="C33" s="34">
        <f>IF(B33="","","Monthly Rent Charge")</f>
        <v/>
      </c>
      <c r="D33" s="34" t="n"/>
      <c r="E33" s="35">
        <f>IF(C33="Monthly Rent Charge",$D$3,"")</f>
        <v/>
      </c>
      <c r="F33" s="35">
        <f>IF(C33="Monthly Rent Charge",$F$3,"")</f>
        <v/>
      </c>
      <c r="G33" s="41" t="n"/>
      <c r="H33" s="34" t="n"/>
      <c r="I33" s="36">
        <f>IF(AND(A33="",C33=""),"",IF(C33="Payment Received",I32-IFERROR(G33,0),IF(C33="Monthly Rent Charge",I32+IFERROR(E33,0)+IFERROR(F33,0),IFERROR(I32,0))))</f>
        <v/>
      </c>
      <c r="J33" s="37" t="n"/>
    </row>
    <row r="34" ht="15" customHeight="1" s="62">
      <c r="A34" s="54">
        <f>IF(B34="","",DATE(YEAR(TODAY()),MATCH(B34,{"January","February","March","April","May","June","July","August","September","October","November","December"},0),1))</f>
        <v/>
      </c>
      <c r="B34" s="33" t="n"/>
      <c r="C34" s="34">
        <f>IF(B34="","","Monthly Rent Charge")</f>
        <v/>
      </c>
      <c r="D34" s="34" t="n"/>
      <c r="E34" s="35">
        <f>IF(C34="Monthly Rent Charge",$D$3,"")</f>
        <v/>
      </c>
      <c r="F34" s="35">
        <f>IF(C34="Monthly Rent Charge",$F$3,"")</f>
        <v/>
      </c>
      <c r="G34" s="41" t="n"/>
      <c r="H34" s="34" t="n"/>
      <c r="I34" s="36">
        <f>IF(AND(A34="",C34=""),"",IF(C34="Payment Received",I33-IFERROR(G34,0),IF(C34="Monthly Rent Charge",I33+IFERROR(E34,0)+IFERROR(F34,0),IFERROR(I33,0))))</f>
        <v/>
      </c>
      <c r="J34" s="37" t="n"/>
    </row>
    <row r="35" ht="15" customHeight="1" s="62">
      <c r="A35" s="54">
        <f>IF(B35="","",DATE(YEAR(TODAY()),MATCH(B35,{"January","February","March","April","May","June","July","August","September","October","November","December"},0),1))</f>
        <v/>
      </c>
      <c r="B35" s="33" t="n"/>
      <c r="C35" s="34">
        <f>IF(B35="","","Monthly Rent Charge")</f>
        <v/>
      </c>
      <c r="D35" s="34" t="n"/>
      <c r="E35" s="35">
        <f>IF(C35="Monthly Rent Charge",$D$3,"")</f>
        <v/>
      </c>
      <c r="F35" s="35">
        <f>IF(C35="Monthly Rent Charge",$F$3,"")</f>
        <v/>
      </c>
      <c r="G35" s="41" t="n"/>
      <c r="H35" s="34" t="n"/>
      <c r="I35" s="36">
        <f>IF(AND(A35="",C35=""),"",IF(C35="Payment Received",I34-IFERROR(G35,0),IF(C35="Monthly Rent Charge",I34+IFERROR(E35,0)+IFERROR(F35,0),IFERROR(I34,0))))</f>
        <v/>
      </c>
      <c r="J35" s="37" t="n"/>
    </row>
    <row r="36" ht="15" customHeight="1" s="62">
      <c r="A36" s="54">
        <f>IF(B36="","",DATE(YEAR(TODAY()),MATCH(B36,{"January","February","March","April","May","June","July","August","September","October","November","December"},0),1))</f>
        <v/>
      </c>
      <c r="B36" s="33" t="n"/>
      <c r="C36" s="34">
        <f>IF(B36="","","Monthly Rent Charge")</f>
        <v/>
      </c>
      <c r="D36" s="34" t="n"/>
      <c r="E36" s="35">
        <f>IF(C36="Monthly Rent Charge",$D$3,"")</f>
        <v/>
      </c>
      <c r="F36" s="35">
        <f>IF(C36="Monthly Rent Charge",$F$3,"")</f>
        <v/>
      </c>
      <c r="G36" s="41" t="n"/>
      <c r="H36" s="34" t="n"/>
      <c r="I36" s="36">
        <f>IF(AND(A36="",C36=""),"",IF(C36="Payment Received",I35-IFERROR(G36,0),IF(C36="Monthly Rent Charge",I35+IFERROR(E36,0)+IFERROR(F36,0),IFERROR(I35,0))))</f>
        <v/>
      </c>
      <c r="J36" s="37" t="n"/>
    </row>
    <row r="37" ht="15" customHeight="1" s="62">
      <c r="A37" s="54">
        <f>IF(B37="","",DATE(YEAR(TODAY()),MATCH(B37,{"January","February","March","April","May","June","July","August","September","October","November","December"},0),1))</f>
        <v/>
      </c>
      <c r="B37" s="33" t="n"/>
      <c r="C37" s="34">
        <f>IF(B37="","","Monthly Rent Charge")</f>
        <v/>
      </c>
      <c r="D37" s="34" t="n"/>
      <c r="E37" s="35">
        <f>IF(C37="Monthly Rent Charge",$D$3,"")</f>
        <v/>
      </c>
      <c r="F37" s="35">
        <f>IF(C37="Monthly Rent Charge",$F$3,"")</f>
        <v/>
      </c>
      <c r="G37" s="41" t="n"/>
      <c r="H37" s="34" t="n"/>
      <c r="I37" s="36">
        <f>IF(AND(A37="",C37=""),"",IF(C37="Payment Received",I36-IFERROR(G37,0),IF(C37="Monthly Rent Charge",I36+IFERROR(E37,0)+IFERROR(F37,0),IFERROR(I36,0))))</f>
        <v/>
      </c>
      <c r="J37" s="37" t="n"/>
    </row>
    <row r="38" ht="15" customHeight="1" s="62">
      <c r="A38" s="54">
        <f>IF(B38="","",DATE(YEAR(TODAY()),MATCH(B38,{"January","February","March","April","May","June","July","August","September","October","November","December"},0),1))</f>
        <v/>
      </c>
      <c r="B38" s="33" t="n"/>
      <c r="C38" s="34">
        <f>IF(B38="","","Monthly Rent Charge")</f>
        <v/>
      </c>
      <c r="D38" s="34" t="n"/>
      <c r="E38" s="35">
        <f>IF(C38="Monthly Rent Charge",$D$3,"")</f>
        <v/>
      </c>
      <c r="F38" s="35">
        <f>IF(C38="Monthly Rent Charge",$F$3,"")</f>
        <v/>
      </c>
      <c r="G38" s="41" t="n"/>
      <c r="H38" s="34" t="n"/>
      <c r="I38" s="36">
        <f>IF(AND(A38="",C38=""),"",IF(C38="Payment Received",I37-IFERROR(G38,0),IF(C38="Monthly Rent Charge",I37+IFERROR(E38,0)+IFERROR(F38,0),IFERROR(I37,0))))</f>
        <v/>
      </c>
      <c r="J38" s="37" t="n"/>
    </row>
    <row r="39" ht="15" customHeight="1" s="62">
      <c r="A39" s="54">
        <f>IF(B39="","",DATE(YEAR(TODAY()),MATCH(B39,{"January","February","March","April","May","June","July","August","September","October","November","December"},0),1))</f>
        <v/>
      </c>
      <c r="B39" s="33" t="n"/>
      <c r="C39" s="34">
        <f>IF(B39="","","Monthly Rent Charge")</f>
        <v/>
      </c>
      <c r="D39" s="34" t="n"/>
      <c r="E39" s="35">
        <f>IF(C39="Monthly Rent Charge",$D$3,"")</f>
        <v/>
      </c>
      <c r="F39" s="35">
        <f>IF(C39="Monthly Rent Charge",$F$3,"")</f>
        <v/>
      </c>
      <c r="G39" s="41" t="n"/>
      <c r="H39" s="34" t="n"/>
      <c r="I39" s="36">
        <f>IF(AND(A39="",C39=""),"",IF(C39="Payment Received",I38-IFERROR(G39,0),IF(C39="Monthly Rent Charge",I38+IFERROR(E39,0)+IFERROR(F39,0),IFERROR(I38,0))))</f>
        <v/>
      </c>
      <c r="J39" s="37" t="n"/>
    </row>
    <row r="40" ht="15" customHeight="1" s="62">
      <c r="A40" s="54">
        <f>IF(B40="","",DATE(YEAR(TODAY()),MATCH(B40,{"January","February","March","April","May","June","July","August","September","October","November","December"},0),1))</f>
        <v/>
      </c>
      <c r="B40" s="33" t="n"/>
      <c r="C40" s="34">
        <f>IF(B40="","","Monthly Rent Charge")</f>
        <v/>
      </c>
      <c r="D40" s="34" t="n"/>
      <c r="E40" s="35">
        <f>IF(C40="Monthly Rent Charge",$D$3,"")</f>
        <v/>
      </c>
      <c r="F40" s="35">
        <f>IF(C40="Monthly Rent Charge",$F$3,"")</f>
        <v/>
      </c>
      <c r="G40" s="41" t="n"/>
      <c r="H40" s="34" t="n"/>
      <c r="I40" s="36">
        <f>IF(AND(A40="",C40=""),"",IF(C40="Payment Received",I39-IFERROR(G40,0),IF(C40="Monthly Rent Charge",I39+IFERROR(E40,0)+IFERROR(F40,0),IFERROR(I39,0))))</f>
        <v/>
      </c>
      <c r="J40" s="37" t="n"/>
    </row>
    <row r="41" ht="15" customHeight="1" s="62">
      <c r="A41" s="54">
        <f>IF(B41="","",DATE(YEAR(TODAY()),MATCH(B41,{"January","February","March","April","May","June","July","August","September","October","November","December"},0),1))</f>
        <v/>
      </c>
      <c r="B41" s="33" t="n"/>
      <c r="C41" s="34">
        <f>IF(B41="","","Monthly Rent Charge")</f>
        <v/>
      </c>
      <c r="D41" s="34" t="n"/>
      <c r="E41" s="35">
        <f>IF(C41="Monthly Rent Charge",$D$3,"")</f>
        <v/>
      </c>
      <c r="F41" s="35">
        <f>IF(C41="Monthly Rent Charge",$F$3,"")</f>
        <v/>
      </c>
      <c r="G41" s="41" t="n"/>
      <c r="H41" s="34" t="n"/>
      <c r="I41" s="36">
        <f>IF(AND(A41="",C41=""),"",IF(C41="Payment Received",I40-IFERROR(G41,0),IF(C41="Monthly Rent Charge",I40+IFERROR(E41,0)+IFERROR(F41,0),IFERROR(I40,0))))</f>
        <v/>
      </c>
      <c r="J41" s="37" t="n"/>
    </row>
    <row r="42" ht="15" customHeight="1" s="62">
      <c r="A42" s="54" t="n"/>
      <c r="B42" s="33" t="n"/>
      <c r="C42" s="34" t="n"/>
      <c r="D42" s="34" t="n"/>
      <c r="E42" s="35" t="n"/>
      <c r="F42" s="35" t="n"/>
      <c r="G42" s="41" t="n"/>
      <c r="H42" s="34" t="n"/>
      <c r="I42" s="36" t="n"/>
      <c r="J42" s="37" t="n"/>
    </row>
    <row r="43" ht="15" customHeight="1" s="62">
      <c r="A43" s="54" t="n"/>
      <c r="B43" s="33" t="n"/>
      <c r="C43" s="34" t="n"/>
      <c r="D43" s="34" t="n"/>
      <c r="E43" s="35" t="n"/>
      <c r="F43" s="35" t="n"/>
      <c r="G43" s="41" t="n"/>
      <c r="H43" s="34" t="n"/>
      <c r="I43" s="36" t="n"/>
      <c r="J43" s="37" t="n"/>
    </row>
    <row r="44" ht="15" customHeight="1" s="62">
      <c r="A44" s="54" t="n"/>
      <c r="B44" s="33" t="n"/>
      <c r="C44" s="34" t="n"/>
      <c r="D44" s="34" t="n"/>
      <c r="E44" s="35" t="n"/>
      <c r="F44" s="35" t="n"/>
      <c r="G44" s="41" t="n"/>
      <c r="H44" s="34" t="n"/>
      <c r="I44" s="36" t="n"/>
      <c r="J44" s="37" t="n"/>
    </row>
    <row r="45" ht="15" customHeight="1" s="62">
      <c r="A45" s="54" t="n"/>
      <c r="B45" s="33" t="n"/>
      <c r="C45" s="34" t="n"/>
      <c r="D45" s="34" t="n"/>
      <c r="E45" s="35" t="n"/>
      <c r="F45" s="35" t="n"/>
      <c r="G45" s="41" t="n"/>
      <c r="H45" s="34" t="n"/>
      <c r="I45" s="36" t="n"/>
      <c r="J45" s="37" t="n"/>
    </row>
    <row r="46" ht="15" customHeight="1" s="62">
      <c r="A46" s="54" t="n"/>
      <c r="B46" s="33" t="n"/>
      <c r="C46" s="34" t="n"/>
      <c r="D46" s="34" t="n"/>
      <c r="E46" s="35" t="n"/>
      <c r="F46" s="35" t="n"/>
      <c r="G46" s="41" t="n"/>
      <c r="H46" s="34" t="n"/>
      <c r="I46" s="36" t="n"/>
      <c r="J46" s="37" t="n"/>
    </row>
    <row r="47" ht="15" customHeight="1" s="62">
      <c r="A47" s="54" t="n"/>
      <c r="B47" s="33" t="n"/>
      <c r="C47" s="34" t="n"/>
      <c r="D47" s="34" t="n"/>
      <c r="E47" s="35" t="n"/>
      <c r="F47" s="35" t="n"/>
      <c r="G47" s="41" t="n"/>
      <c r="H47" s="34" t="n"/>
      <c r="I47" s="36" t="n"/>
      <c r="J47" s="37" t="n"/>
    </row>
    <row r="48" ht="15" customHeight="1" s="62">
      <c r="A48" s="54" t="n"/>
      <c r="B48" s="33" t="n"/>
      <c r="C48" s="34" t="n"/>
      <c r="D48" s="34" t="n"/>
      <c r="E48" s="35" t="n"/>
      <c r="F48" s="35" t="n"/>
      <c r="G48" s="41" t="n"/>
      <c r="H48" s="34" t="n"/>
      <c r="I48" s="36" t="n"/>
      <c r="J48" s="37" t="n"/>
    </row>
    <row r="49" ht="15" customHeight="1" s="62">
      <c r="A49" s="54" t="n"/>
      <c r="B49" s="33" t="n"/>
      <c r="C49" s="34" t="n"/>
      <c r="D49" s="34" t="n"/>
      <c r="E49" s="35" t="n"/>
      <c r="F49" s="35" t="n"/>
      <c r="G49" s="41" t="n"/>
      <c r="H49" s="34" t="n"/>
      <c r="I49" s="36" t="n"/>
      <c r="J49" s="37" t="n"/>
    </row>
    <row r="50" ht="15" customHeight="1" s="62">
      <c r="A50" s="54" t="n"/>
      <c r="B50" s="33" t="n"/>
      <c r="C50" s="34" t="n"/>
      <c r="D50" s="34" t="n"/>
      <c r="E50" s="35" t="n"/>
      <c r="F50" s="35" t="n"/>
      <c r="G50" s="41" t="n"/>
      <c r="H50" s="34" t="n"/>
      <c r="I50" s="36" t="n"/>
      <c r="J50" s="37" t="n"/>
    </row>
    <row r="51" ht="15" customHeight="1" s="62">
      <c r="A51" s="54" t="n"/>
      <c r="B51" s="33" t="n"/>
      <c r="C51" s="34" t="n"/>
      <c r="D51" s="34" t="n"/>
      <c r="E51" s="35" t="n"/>
      <c r="F51" s="35" t="n"/>
      <c r="G51" s="41" t="n"/>
      <c r="H51" s="34" t="n"/>
      <c r="I51" s="36" t="n"/>
      <c r="J51" s="37" t="n"/>
    </row>
    <row r="52" ht="15" customHeight="1" s="62">
      <c r="A52" s="54" t="n"/>
      <c r="B52" s="33" t="n"/>
      <c r="C52" s="34" t="n"/>
      <c r="D52" s="34" t="n"/>
      <c r="E52" s="35" t="n"/>
      <c r="F52" s="35" t="n"/>
      <c r="G52" s="41" t="n"/>
      <c r="H52" s="34" t="n"/>
      <c r="I52" s="36" t="n"/>
      <c r="J52" s="37" t="n"/>
    </row>
    <row r="53" ht="15" customHeight="1" s="62">
      <c r="A53" s="54" t="n"/>
      <c r="B53" s="33" t="n"/>
      <c r="C53" s="34" t="n"/>
      <c r="D53" s="34" t="n"/>
      <c r="E53" s="35" t="n"/>
      <c r="F53" s="35" t="n"/>
      <c r="G53" s="41" t="n"/>
      <c r="H53" s="34" t="n"/>
      <c r="I53" s="36" t="n"/>
      <c r="J53" s="37" t="n"/>
    </row>
    <row r="54" ht="15" customHeight="1" s="62">
      <c r="A54" s="54" t="n"/>
      <c r="B54" s="33" t="n"/>
      <c r="C54" s="34" t="n"/>
      <c r="D54" s="34" t="n"/>
      <c r="E54" s="35" t="n"/>
      <c r="F54" s="35" t="n"/>
      <c r="G54" s="41" t="n"/>
      <c r="H54" s="34" t="n"/>
      <c r="I54" s="36" t="n"/>
      <c r="J54" s="37" t="n"/>
    </row>
    <row r="55" ht="15" customHeight="1" s="62">
      <c r="A55" s="54" t="n"/>
      <c r="B55" s="33" t="n"/>
      <c r="C55" s="34" t="n"/>
      <c r="D55" s="34" t="n"/>
      <c r="E55" s="35" t="n"/>
      <c r="F55" s="35" t="n"/>
      <c r="G55" s="41" t="n"/>
      <c r="H55" s="34" t="n"/>
      <c r="I55" s="36" t="n"/>
      <c r="J55" s="37" t="n"/>
    </row>
    <row r="56" ht="15" customHeight="1" s="62">
      <c r="A56" s="54" t="n"/>
      <c r="B56" s="33" t="n"/>
      <c r="C56" s="34" t="n"/>
      <c r="D56" s="34" t="n"/>
      <c r="E56" s="35" t="n"/>
      <c r="F56" s="35" t="n"/>
      <c r="G56" s="41" t="n"/>
      <c r="H56" s="34" t="n"/>
      <c r="I56" s="36" t="n"/>
      <c r="J56" s="37" t="n"/>
    </row>
    <row r="57" ht="15" customHeight="1" s="62">
      <c r="A57" s="54" t="n"/>
      <c r="B57" s="33" t="n"/>
      <c r="C57" s="34" t="n"/>
      <c r="D57" s="34" t="n"/>
      <c r="E57" s="35" t="n"/>
      <c r="F57" s="35" t="n"/>
      <c r="G57" s="41" t="n"/>
      <c r="H57" s="34" t="n"/>
      <c r="I57" s="36" t="n"/>
      <c r="J57" s="37" t="n"/>
    </row>
    <row r="58" ht="15" customHeight="1" s="62">
      <c r="A58" s="54" t="n"/>
      <c r="B58" s="33" t="n"/>
      <c r="C58" s="34" t="n"/>
      <c r="D58" s="34" t="n"/>
      <c r="E58" s="35" t="n"/>
      <c r="F58" s="35" t="n"/>
      <c r="G58" s="41" t="n"/>
      <c r="H58" s="34" t="n"/>
      <c r="I58" s="36" t="n"/>
      <c r="J58" s="37" t="n"/>
    </row>
    <row r="59" ht="15" customHeight="1" s="62">
      <c r="A59" s="54" t="n"/>
      <c r="B59" s="33" t="n"/>
      <c r="C59" s="34" t="n"/>
      <c r="D59" s="34" t="n"/>
      <c r="E59" s="35" t="n"/>
      <c r="F59" s="35" t="n"/>
      <c r="G59" s="41" t="n"/>
      <c r="H59" s="34" t="n"/>
      <c r="I59" s="36" t="n"/>
      <c r="J59" s="37" t="n"/>
    </row>
    <row r="60" ht="15" customHeight="1" s="62">
      <c r="A60" s="54" t="n"/>
      <c r="B60" s="33" t="n"/>
      <c r="C60" s="34" t="n"/>
      <c r="D60" s="34" t="n"/>
      <c r="E60" s="35" t="n"/>
      <c r="F60" s="35" t="n"/>
      <c r="G60" s="41" t="n"/>
      <c r="H60" s="34" t="n"/>
      <c r="I60" s="36" t="n"/>
      <c r="J60" s="37" t="n"/>
    </row>
    <row r="61" ht="15" customHeight="1" s="62">
      <c r="A61" s="54" t="n"/>
      <c r="B61" s="33" t="n"/>
      <c r="C61" s="34" t="n"/>
      <c r="D61" s="34" t="n"/>
      <c r="E61" s="35" t="n"/>
      <c r="F61" s="35" t="n"/>
      <c r="G61" s="41" t="n"/>
      <c r="H61" s="34" t="n"/>
      <c r="I61" s="36" t="n"/>
      <c r="J61" s="37" t="n"/>
    </row>
    <row r="62" ht="15" customHeight="1" s="62">
      <c r="A62" s="54" t="n"/>
      <c r="B62" s="33" t="n"/>
      <c r="C62" s="34" t="n"/>
      <c r="D62" s="34" t="n"/>
      <c r="E62" s="35" t="n"/>
      <c r="F62" s="35" t="n"/>
      <c r="G62" s="41" t="n"/>
      <c r="H62" s="34" t="n"/>
      <c r="I62" s="36" t="n"/>
      <c r="J62" s="37" t="n"/>
    </row>
    <row r="63" ht="15" customHeight="1" s="62">
      <c r="A63" s="54" t="n"/>
      <c r="B63" s="33" t="n"/>
      <c r="C63" s="34" t="n"/>
      <c r="D63" s="34" t="n"/>
      <c r="E63" s="35" t="n"/>
      <c r="F63" s="35" t="n"/>
      <c r="G63" s="41" t="n"/>
      <c r="H63" s="34" t="n"/>
      <c r="I63" s="36" t="n"/>
      <c r="J63" s="37" t="n"/>
    </row>
    <row r="64" ht="15" customHeight="1" s="62">
      <c r="A64" s="54" t="n"/>
      <c r="B64" s="33" t="n"/>
      <c r="C64" s="34" t="n"/>
      <c r="D64" s="34" t="n"/>
      <c r="E64" s="35" t="n"/>
      <c r="F64" s="35" t="n"/>
      <c r="G64" s="41" t="n"/>
      <c r="H64" s="34" t="n"/>
      <c r="I64" s="36" t="n"/>
      <c r="J64" s="37" t="n"/>
    </row>
    <row r="65" ht="15" customHeight="1" s="62">
      <c r="A65" s="54" t="n"/>
      <c r="B65" s="33" t="n"/>
      <c r="C65" s="34" t="n"/>
      <c r="D65" s="34" t="n"/>
      <c r="E65" s="35" t="n"/>
      <c r="F65" s="35" t="n"/>
      <c r="G65" s="41" t="n"/>
      <c r="H65" s="34" t="n"/>
      <c r="I65" s="36" t="n"/>
      <c r="J65" s="37" t="n"/>
    </row>
    <row r="66" ht="15" customHeight="1" s="62">
      <c r="A66" s="54" t="n"/>
      <c r="B66" s="33" t="n"/>
      <c r="C66" s="34" t="n"/>
      <c r="D66" s="34" t="n"/>
      <c r="E66" s="35" t="n"/>
      <c r="F66" s="35" t="n"/>
      <c r="G66" s="41" t="n"/>
      <c r="H66" s="34" t="n"/>
      <c r="I66" s="36" t="n"/>
      <c r="J66" s="37" t="n"/>
    </row>
    <row r="67" ht="15" customHeight="1" s="62">
      <c r="A67" s="54" t="n"/>
      <c r="B67" s="33" t="n"/>
      <c r="C67" s="34" t="n"/>
      <c r="D67" s="34" t="n"/>
      <c r="E67" s="35" t="n"/>
      <c r="F67" s="35" t="n"/>
      <c r="G67" s="41" t="n"/>
      <c r="H67" s="34" t="n"/>
      <c r="I67" s="36" t="n"/>
      <c r="J67" s="37" t="n"/>
    </row>
    <row r="68" ht="15" customHeight="1" s="62">
      <c r="A68" s="54" t="n"/>
      <c r="B68" s="33" t="n"/>
      <c r="C68" s="34" t="n"/>
      <c r="D68" s="34" t="n"/>
      <c r="E68" s="35" t="n"/>
      <c r="F68" s="35" t="n"/>
      <c r="G68" s="41" t="n"/>
      <c r="H68" s="34" t="n"/>
      <c r="I68" s="36" t="n"/>
      <c r="J68" s="37" t="n"/>
    </row>
    <row r="69" ht="15" customHeight="1" s="62">
      <c r="A69" s="54" t="n"/>
      <c r="B69" s="33" t="n"/>
      <c r="C69" s="34" t="n"/>
      <c r="D69" s="34" t="n"/>
      <c r="E69" s="35" t="n"/>
      <c r="F69" s="35" t="n"/>
      <c r="G69" s="41" t="n"/>
      <c r="H69" s="34" t="n"/>
      <c r="I69" s="36" t="n"/>
      <c r="J69" s="37" t="n"/>
    </row>
    <row r="70" ht="15" customHeight="1" s="62">
      <c r="A70" s="54" t="n"/>
      <c r="B70" s="33" t="n"/>
      <c r="C70" s="34" t="n"/>
      <c r="D70" s="34" t="n"/>
      <c r="E70" s="35" t="n"/>
      <c r="F70" s="35" t="n"/>
      <c r="G70" s="41" t="n"/>
      <c r="H70" s="34" t="n"/>
      <c r="I70" s="36" t="n"/>
      <c r="J70" s="37" t="n"/>
    </row>
    <row r="71" ht="15" customHeight="1" s="62">
      <c r="A71" s="54" t="n"/>
      <c r="B71" s="33" t="n"/>
      <c r="C71" s="34" t="n"/>
      <c r="D71" s="34" t="n"/>
      <c r="E71" s="35" t="n"/>
      <c r="F71" s="35" t="n"/>
      <c r="G71" s="41" t="n"/>
      <c r="H71" s="34" t="n"/>
      <c r="I71" s="36" t="n"/>
      <c r="J71" s="37" t="n"/>
    </row>
    <row r="72" ht="15" customHeight="1" s="62">
      <c r="A72" s="54" t="n"/>
      <c r="B72" s="33" t="n"/>
      <c r="C72" s="34" t="n"/>
      <c r="D72" s="34" t="n"/>
      <c r="E72" s="35" t="n"/>
      <c r="F72" s="35" t="n"/>
      <c r="G72" s="41" t="n"/>
      <c r="H72" s="34" t="n"/>
      <c r="I72" s="36" t="n"/>
      <c r="J72" s="37" t="n"/>
    </row>
    <row r="73" ht="15" customHeight="1" s="62">
      <c r="A73" s="54" t="n"/>
      <c r="B73" s="33" t="n"/>
      <c r="C73" s="34" t="n"/>
      <c r="D73" s="34" t="n"/>
      <c r="E73" s="35" t="n"/>
      <c r="F73" s="35" t="n"/>
      <c r="G73" s="41" t="n"/>
      <c r="H73" s="34" t="n"/>
      <c r="I73" s="36" t="n"/>
      <c r="J73" s="37" t="n"/>
    </row>
    <row r="74" ht="15" customHeight="1" s="62">
      <c r="A74" s="54" t="n"/>
      <c r="B74" s="33" t="n"/>
      <c r="C74" s="34" t="n"/>
      <c r="D74" s="34" t="n"/>
      <c r="E74" s="35" t="n"/>
      <c r="F74" s="35" t="n"/>
      <c r="G74" s="41" t="n"/>
      <c r="H74" s="34" t="n"/>
      <c r="I74" s="36" t="n"/>
      <c r="J74" s="37" t="n"/>
    </row>
    <row r="75" ht="15" customHeight="1" s="62">
      <c r="A75" s="54" t="n"/>
      <c r="B75" s="33" t="n"/>
      <c r="C75" s="34" t="n"/>
      <c r="D75" s="34" t="n"/>
      <c r="E75" s="35" t="n"/>
      <c r="F75" s="35" t="n"/>
      <c r="G75" s="41" t="n"/>
      <c r="H75" s="34" t="n"/>
      <c r="I75" s="36" t="n"/>
      <c r="J75" s="37" t="n"/>
    </row>
    <row r="76" ht="15" customHeight="1" s="62">
      <c r="A76" s="54" t="n"/>
      <c r="B76" s="33" t="n"/>
      <c r="C76" s="34" t="n"/>
      <c r="D76" s="34" t="n"/>
      <c r="E76" s="35" t="n"/>
      <c r="F76" s="35" t="n"/>
      <c r="G76" s="41" t="n"/>
      <c r="H76" s="34" t="n"/>
      <c r="I76" s="36" t="n"/>
      <c r="J76" s="37" t="n"/>
    </row>
    <row r="77" ht="15" customHeight="1" s="62">
      <c r="A77" s="54" t="n"/>
      <c r="B77" s="33" t="n"/>
      <c r="C77" s="34" t="n"/>
      <c r="D77" s="34" t="n"/>
      <c r="E77" s="35" t="n"/>
      <c r="F77" s="35" t="n"/>
      <c r="G77" s="41" t="n"/>
      <c r="H77" s="34" t="n"/>
      <c r="I77" s="36" t="n"/>
      <c r="J77" s="37" t="n"/>
    </row>
    <row r="78" ht="15" customHeight="1" s="62">
      <c r="A78" s="54" t="n"/>
      <c r="B78" s="33" t="n"/>
      <c r="C78" s="34" t="n"/>
      <c r="D78" s="34" t="n"/>
      <c r="E78" s="35" t="n"/>
      <c r="F78" s="35" t="n"/>
      <c r="G78" s="41" t="n"/>
      <c r="H78" s="34" t="n"/>
      <c r="I78" s="36" t="n"/>
      <c r="J78" s="37" t="n"/>
    </row>
    <row r="79" ht="15" customHeight="1" s="62">
      <c r="A79" s="54" t="n"/>
      <c r="B79" s="33" t="n"/>
      <c r="C79" s="34" t="n"/>
      <c r="D79" s="34" t="n"/>
      <c r="E79" s="35" t="n"/>
      <c r="F79" s="35" t="n"/>
      <c r="G79" s="41" t="n"/>
      <c r="H79" s="34" t="n"/>
      <c r="I79" s="36" t="n"/>
      <c r="J79" s="37" t="n"/>
    </row>
    <row r="80" ht="15" customHeight="1" s="62">
      <c r="A80" s="54" t="n"/>
      <c r="B80" s="33" t="n"/>
      <c r="C80" s="34" t="n"/>
      <c r="D80" s="34" t="n"/>
      <c r="E80" s="35" t="n"/>
      <c r="F80" s="35" t="n"/>
      <c r="G80" s="41" t="n"/>
      <c r="H80" s="34" t="n"/>
      <c r="I80" s="36" t="n"/>
      <c r="J80" s="37" t="n"/>
    </row>
    <row r="81" ht="15" customHeight="1" s="62">
      <c r="A81" s="54" t="n"/>
      <c r="B81" s="33" t="n"/>
      <c r="C81" s="34" t="n"/>
      <c r="D81" s="34" t="n"/>
      <c r="E81" s="35" t="n"/>
      <c r="F81" s="35" t="n"/>
      <c r="G81" s="41" t="n"/>
      <c r="H81" s="34" t="n"/>
      <c r="I81" s="36" t="n"/>
      <c r="J81" s="37" t="n"/>
    </row>
    <row r="82" ht="15" customHeight="1" s="62">
      <c r="A82" s="54" t="n"/>
      <c r="B82" s="33" t="n"/>
      <c r="C82" s="34" t="n"/>
      <c r="D82" s="34" t="n"/>
      <c r="E82" s="35" t="n"/>
      <c r="F82" s="35" t="n"/>
      <c r="G82" s="41" t="n"/>
      <c r="H82" s="34" t="n"/>
      <c r="I82" s="36" t="n"/>
      <c r="J82" s="37" t="n"/>
    </row>
    <row r="83" ht="15" customHeight="1" s="62">
      <c r="A83" s="54" t="n"/>
      <c r="B83" s="33" t="n"/>
      <c r="C83" s="34" t="n"/>
      <c r="D83" s="34" t="n"/>
      <c r="E83" s="35" t="n"/>
      <c r="F83" s="35" t="n"/>
      <c r="G83" s="41" t="n"/>
      <c r="H83" s="34" t="n"/>
      <c r="I83" s="36" t="n"/>
      <c r="J83" s="37" t="n"/>
    </row>
    <row r="84" ht="15" customHeight="1" s="62">
      <c r="A84" s="54" t="n"/>
      <c r="B84" s="33" t="n"/>
      <c r="C84" s="34" t="n"/>
      <c r="D84" s="34" t="n"/>
      <c r="E84" s="35" t="n"/>
      <c r="F84" s="35" t="n"/>
      <c r="G84" s="41" t="n"/>
      <c r="H84" s="34" t="n"/>
      <c r="I84" s="36" t="n"/>
      <c r="J84" s="37" t="n"/>
    </row>
    <row r="85" ht="15" customHeight="1" s="62">
      <c r="A85" s="54" t="n"/>
      <c r="B85" s="33" t="n"/>
      <c r="C85" s="34" t="n"/>
      <c r="D85" s="34" t="n"/>
      <c r="E85" s="35" t="n"/>
      <c r="F85" s="35" t="n"/>
      <c r="G85" s="41" t="n"/>
      <c r="H85" s="34" t="n"/>
      <c r="I85" s="36" t="n"/>
      <c r="J85" s="37" t="n"/>
    </row>
    <row r="86" ht="15" customHeight="1" s="62">
      <c r="A86" s="54" t="n"/>
      <c r="B86" s="33" t="n"/>
      <c r="C86" s="34" t="n"/>
      <c r="D86" s="34" t="n"/>
      <c r="E86" s="35" t="n"/>
      <c r="F86" s="35" t="n"/>
      <c r="G86" s="41" t="n"/>
      <c r="H86" s="34" t="n"/>
      <c r="I86" s="36" t="n"/>
      <c r="J86" s="37" t="n"/>
    </row>
    <row r="87" ht="15" customHeight="1" s="62">
      <c r="A87" s="54" t="n"/>
      <c r="B87" s="33" t="n"/>
      <c r="C87" s="34" t="n"/>
      <c r="D87" s="34" t="n"/>
      <c r="E87" s="35" t="n"/>
      <c r="F87" s="35" t="n"/>
      <c r="G87" s="41" t="n"/>
      <c r="H87" s="34" t="n"/>
      <c r="I87" s="36" t="n"/>
      <c r="J87" s="37" t="n"/>
    </row>
    <row r="88" ht="15" customHeight="1" s="62">
      <c r="A88" s="54" t="n"/>
      <c r="B88" s="33" t="n"/>
      <c r="C88" s="34" t="n"/>
      <c r="D88" s="34" t="n"/>
      <c r="E88" s="35" t="n"/>
      <c r="F88" s="35" t="n"/>
      <c r="G88" s="41" t="n"/>
      <c r="H88" s="34" t="n"/>
      <c r="I88" s="36" t="n"/>
      <c r="J88" s="37" t="n"/>
    </row>
    <row r="89" ht="15" customHeight="1" s="62">
      <c r="A89" s="54" t="n"/>
      <c r="B89" s="33" t="n"/>
      <c r="C89" s="34" t="n"/>
      <c r="D89" s="34" t="n"/>
      <c r="E89" s="35" t="n"/>
      <c r="F89" s="35" t="n"/>
      <c r="G89" s="41" t="n"/>
      <c r="H89" s="34" t="n"/>
      <c r="I89" s="36" t="n"/>
      <c r="J89" s="37" t="n"/>
    </row>
    <row r="90" ht="15" customHeight="1" s="62">
      <c r="A90" s="54" t="n"/>
      <c r="B90" s="33" t="n"/>
      <c r="C90" s="34" t="n"/>
      <c r="D90" s="34" t="n"/>
      <c r="E90" s="35" t="n"/>
      <c r="F90" s="35" t="n"/>
      <c r="G90" s="41" t="n"/>
      <c r="H90" s="34" t="n"/>
      <c r="I90" s="36" t="n"/>
      <c r="J90" s="37" t="n"/>
    </row>
    <row r="91" ht="15" customHeight="1" s="62">
      <c r="A91" s="54" t="n"/>
      <c r="B91" s="33" t="n"/>
      <c r="C91" s="34" t="n"/>
      <c r="D91" s="34" t="n"/>
      <c r="E91" s="35" t="n"/>
      <c r="F91" s="35" t="n"/>
      <c r="G91" s="41" t="n"/>
      <c r="H91" s="34" t="n"/>
      <c r="I91" s="36" t="n"/>
      <c r="J91" s="37" t="n"/>
    </row>
    <row r="92" ht="15" customHeight="1" s="62">
      <c r="A92" s="54" t="n"/>
      <c r="B92" s="33" t="n"/>
      <c r="C92" s="34" t="n"/>
      <c r="D92" s="34" t="n"/>
      <c r="E92" s="35" t="n"/>
      <c r="F92" s="35" t="n"/>
      <c r="G92" s="41" t="n"/>
      <c r="H92" s="34" t="n"/>
      <c r="I92" s="36" t="n"/>
      <c r="J92" s="37" t="n"/>
    </row>
    <row r="93" ht="15" customHeight="1" s="62">
      <c r="A93" s="54" t="n"/>
      <c r="B93" s="33" t="n"/>
      <c r="C93" s="34" t="n"/>
      <c r="D93" s="34" t="n"/>
      <c r="E93" s="35" t="n"/>
      <c r="F93" s="35" t="n"/>
      <c r="G93" s="41" t="n"/>
      <c r="H93" s="34" t="n"/>
      <c r="I93" s="36" t="n"/>
      <c r="J93" s="37" t="n"/>
    </row>
    <row r="94" ht="15" customHeight="1" s="62">
      <c r="A94" s="54" t="n"/>
      <c r="B94" s="33" t="n"/>
      <c r="C94" s="34" t="n"/>
      <c r="D94" s="34" t="n"/>
      <c r="E94" s="35" t="n"/>
      <c r="F94" s="35" t="n"/>
      <c r="G94" s="41" t="n"/>
      <c r="H94" s="34" t="n"/>
      <c r="I94" s="36" t="n"/>
      <c r="J94" s="37" t="n"/>
    </row>
    <row r="95" ht="15" customHeight="1" s="62">
      <c r="A95" s="54" t="n"/>
      <c r="B95" s="33" t="n"/>
      <c r="C95" s="34" t="n"/>
      <c r="D95" s="34" t="n"/>
      <c r="E95" s="35" t="n"/>
      <c r="F95" s="35" t="n"/>
      <c r="G95" s="41" t="n"/>
      <c r="H95" s="34" t="n"/>
      <c r="I95" s="36" t="n"/>
      <c r="J95" s="37" t="n"/>
    </row>
    <row r="96" ht="15" customHeight="1" s="62">
      <c r="A96" s="54" t="n"/>
      <c r="B96" s="33" t="n"/>
      <c r="C96" s="34" t="n"/>
      <c r="D96" s="34" t="n"/>
      <c r="E96" s="35" t="n"/>
      <c r="F96" s="35" t="n"/>
      <c r="G96" s="41" t="n"/>
      <c r="H96" s="34" t="n"/>
      <c r="I96" s="36" t="n"/>
      <c r="J96" s="37" t="n"/>
    </row>
    <row r="97" ht="15" customHeight="1" s="62">
      <c r="A97" s="54" t="n"/>
      <c r="B97" s="33" t="n"/>
      <c r="C97" s="34" t="n"/>
      <c r="D97" s="34" t="n"/>
      <c r="E97" s="35" t="n"/>
      <c r="F97" s="35" t="n"/>
      <c r="G97" s="41" t="n"/>
      <c r="H97" s="34" t="n"/>
      <c r="I97" s="36" t="n"/>
      <c r="J97" s="37" t="n"/>
    </row>
    <row r="98" ht="15" customHeight="1" s="62">
      <c r="A98" s="54" t="n"/>
      <c r="B98" s="33" t="n"/>
      <c r="C98" s="34" t="n"/>
      <c r="D98" s="34" t="n"/>
      <c r="E98" s="35" t="n"/>
      <c r="F98" s="35" t="n"/>
      <c r="G98" s="41" t="n"/>
      <c r="H98" s="34" t="n"/>
      <c r="I98" s="36" t="n"/>
      <c r="J98" s="37" t="n"/>
    </row>
    <row r="99" ht="15" customHeight="1" s="62">
      <c r="A99" s="54" t="n"/>
      <c r="B99" s="33" t="n"/>
      <c r="C99" s="34" t="n"/>
      <c r="D99" s="34" t="n"/>
      <c r="E99" s="35" t="n"/>
      <c r="F99" s="35" t="n"/>
      <c r="G99" s="41" t="n"/>
      <c r="H99" s="34" t="n"/>
      <c r="I99" s="36" t="n"/>
      <c r="J99" s="37" t="n"/>
    </row>
    <row r="100" ht="15" customHeight="1" s="62">
      <c r="A100" s="54" t="n"/>
      <c r="B100" s="33" t="n"/>
      <c r="C100" s="34" t="n"/>
      <c r="D100" s="34" t="n"/>
      <c r="E100" s="35" t="n"/>
      <c r="F100" s="35" t="n"/>
      <c r="G100" s="41" t="n"/>
      <c r="H100" s="34" t="n"/>
      <c r="I100" s="36" t="n"/>
      <c r="J100" s="37" t="n"/>
    </row>
    <row r="101" ht="15" customHeight="1" s="62">
      <c r="A101" s="54" t="n"/>
      <c r="B101" s="33" t="n"/>
      <c r="C101" s="34" t="n"/>
      <c r="D101" s="34" t="n"/>
      <c r="E101" s="35" t="n"/>
      <c r="F101" s="35" t="n"/>
      <c r="G101" s="41" t="n"/>
      <c r="H101" s="34" t="n"/>
      <c r="I101" s="36" t="n"/>
      <c r="J101" s="37" t="n"/>
    </row>
    <row r="102" ht="15" customHeight="1" s="62">
      <c r="A102" s="54" t="n"/>
      <c r="B102" s="33" t="n"/>
      <c r="C102" s="34" t="n"/>
      <c r="D102" s="34" t="n"/>
      <c r="E102" s="35" t="n"/>
      <c r="F102" s="35" t="n"/>
      <c r="G102" s="41" t="n"/>
      <c r="H102" s="34" t="n"/>
      <c r="I102" s="36" t="n"/>
      <c r="J102" s="37" t="n"/>
    </row>
    <row r="103" ht="15" customHeight="1" s="62">
      <c r="A103" s="54" t="n"/>
      <c r="B103" s="33" t="n"/>
      <c r="C103" s="34" t="n"/>
      <c r="D103" s="34" t="n"/>
      <c r="E103" s="35" t="n"/>
      <c r="F103" s="35" t="n"/>
      <c r="G103" s="41" t="n"/>
      <c r="H103" s="34" t="n"/>
      <c r="I103" s="36" t="n"/>
      <c r="J103" s="37" t="n"/>
    </row>
    <row r="104" ht="15" customHeight="1" s="62">
      <c r="A104" s="54" t="n"/>
      <c r="B104" s="33" t="n"/>
      <c r="C104" s="34" t="n"/>
      <c r="D104" s="34" t="n"/>
      <c r="E104" s="35" t="n"/>
      <c r="F104" s="35" t="n"/>
      <c r="G104" s="41" t="n"/>
      <c r="H104" s="34" t="n"/>
      <c r="I104" s="36" t="n"/>
      <c r="J104" s="37" t="n"/>
    </row>
    <row r="105" ht="15" customHeight="1" s="62">
      <c r="A105" s="54" t="n"/>
      <c r="B105" s="33" t="n"/>
      <c r="C105" s="34" t="n"/>
      <c r="D105" s="34" t="n"/>
      <c r="E105" s="35" t="n"/>
      <c r="F105" s="35" t="n"/>
      <c r="G105" s="41" t="n"/>
      <c r="H105" s="34" t="n"/>
      <c r="I105" s="36" t="n"/>
      <c r="J105" s="37" t="n"/>
    </row>
    <row r="106" ht="15" customHeight="1" s="62">
      <c r="A106" s="54" t="n"/>
      <c r="B106" s="33" t="n"/>
      <c r="C106" s="34" t="n"/>
      <c r="D106" s="34" t="n"/>
      <c r="E106" s="35" t="n"/>
      <c r="F106" s="35" t="n"/>
      <c r="G106" s="41" t="n"/>
      <c r="H106" s="34" t="n"/>
      <c r="I106" s="36" t="n"/>
      <c r="J106" s="37" t="n"/>
    </row>
    <row r="107" ht="15" customHeight="1" s="62">
      <c r="A107" s="54" t="n"/>
      <c r="B107" s="33" t="n"/>
      <c r="C107" s="34" t="n"/>
      <c r="D107" s="34" t="n"/>
      <c r="E107" s="35" t="n"/>
      <c r="F107" s="35" t="n"/>
      <c r="G107" s="41" t="n"/>
      <c r="H107" s="34" t="n"/>
      <c r="I107" s="36" t="n"/>
      <c r="J107" s="37" t="n"/>
    </row>
    <row r="108" ht="15" customHeight="1" s="62">
      <c r="A108" s="54" t="n"/>
      <c r="B108" s="33" t="n"/>
      <c r="C108" s="34" t="n"/>
      <c r="D108" s="34" t="n"/>
      <c r="E108" s="35" t="n"/>
      <c r="F108" s="35" t="n"/>
      <c r="G108" s="41" t="n"/>
      <c r="H108" s="34" t="n"/>
      <c r="I108" s="36" t="n"/>
      <c r="J108" s="37" t="n"/>
    </row>
    <row r="109" ht="15" customHeight="1" s="62">
      <c r="A109" s="54" t="n"/>
      <c r="B109" s="33" t="n"/>
      <c r="C109" s="34" t="n"/>
      <c r="D109" s="34" t="n"/>
      <c r="E109" s="35" t="n"/>
      <c r="F109" s="35" t="n"/>
      <c r="G109" s="41" t="n"/>
      <c r="H109" s="34" t="n"/>
      <c r="I109" s="36" t="n"/>
      <c r="J109" s="37" t="n"/>
    </row>
    <row r="110" ht="15" customHeight="1" s="62">
      <c r="A110" s="54" t="n"/>
      <c r="B110" s="33" t="n"/>
      <c r="C110" s="34" t="n"/>
      <c r="D110" s="34" t="n"/>
      <c r="E110" s="35" t="n"/>
      <c r="F110" s="35" t="n"/>
      <c r="G110" s="41" t="n"/>
      <c r="H110" s="34" t="n"/>
      <c r="I110" s="36" t="n"/>
      <c r="J110" s="37" t="n"/>
    </row>
    <row r="111" ht="15" customHeight="1" s="62">
      <c r="A111" s="54" t="n"/>
      <c r="B111" s="33" t="n"/>
      <c r="C111" s="34" t="n"/>
      <c r="D111" s="34" t="n"/>
      <c r="E111" s="35" t="n"/>
      <c r="F111" s="35" t="n"/>
      <c r="G111" s="41" t="n"/>
      <c r="H111" s="34" t="n"/>
      <c r="I111" s="36" t="n"/>
      <c r="J111" s="37" t="n"/>
    </row>
    <row r="112" ht="15" customHeight="1" s="62">
      <c r="A112" s="54" t="n"/>
      <c r="B112" s="33" t="n"/>
      <c r="C112" s="34" t="n"/>
      <c r="D112" s="34" t="n"/>
      <c r="E112" s="35" t="n"/>
      <c r="F112" s="35" t="n"/>
      <c r="G112" s="41" t="n"/>
      <c r="H112" s="34" t="n"/>
      <c r="I112" s="36" t="n"/>
      <c r="J112" s="37" t="n"/>
    </row>
    <row r="113" ht="15" customHeight="1" s="62">
      <c r="A113" s="54" t="n"/>
      <c r="B113" s="33" t="n"/>
      <c r="C113" s="34" t="n"/>
      <c r="D113" s="34" t="n"/>
      <c r="E113" s="35" t="n"/>
      <c r="F113" s="35" t="n"/>
      <c r="G113" s="41" t="n"/>
      <c r="H113" s="34" t="n"/>
      <c r="I113" s="36" t="n"/>
      <c r="J113" s="37" t="n"/>
    </row>
    <row r="114" ht="15" customHeight="1" s="62">
      <c r="A114" s="54" t="n"/>
      <c r="B114" s="33" t="n"/>
      <c r="C114" s="34" t="n"/>
      <c r="D114" s="34" t="n"/>
      <c r="E114" s="35" t="n"/>
      <c r="F114" s="35" t="n"/>
      <c r="G114" s="41" t="n"/>
      <c r="H114" s="34" t="n"/>
      <c r="I114" s="36" t="n"/>
      <c r="J114" s="37" t="n"/>
    </row>
    <row r="115" ht="15" customHeight="1" s="62">
      <c r="A115" s="54" t="n"/>
      <c r="B115" s="33" t="n"/>
      <c r="C115" s="34" t="n"/>
      <c r="D115" s="34" t="n"/>
      <c r="E115" s="35" t="n"/>
      <c r="F115" s="35" t="n"/>
      <c r="G115" s="41" t="n"/>
      <c r="H115" s="34" t="n"/>
      <c r="I115" s="36" t="n"/>
      <c r="J115" s="37" t="n"/>
    </row>
    <row r="116" ht="15" customHeight="1" s="62">
      <c r="A116" s="54" t="n"/>
      <c r="B116" s="33" t="n"/>
      <c r="C116" s="34" t="n"/>
      <c r="D116" s="34" t="n"/>
      <c r="E116" s="35" t="n"/>
      <c r="F116" s="35" t="n"/>
      <c r="G116" s="41" t="n"/>
      <c r="H116" s="34" t="n"/>
      <c r="I116" s="36" t="n"/>
      <c r="J116" s="37" t="n"/>
    </row>
    <row r="117" ht="15" customHeight="1" s="62">
      <c r="A117" s="54" t="n"/>
      <c r="B117" s="33" t="n"/>
      <c r="C117" s="34" t="n"/>
      <c r="D117" s="34" t="n"/>
      <c r="E117" s="35" t="n"/>
      <c r="F117" s="35" t="n"/>
      <c r="G117" s="41" t="n"/>
      <c r="H117" s="34" t="n"/>
      <c r="I117" s="36" t="n"/>
      <c r="J117" s="37" t="n"/>
    </row>
    <row r="118" ht="15" customHeight="1" s="62">
      <c r="A118" s="54" t="n"/>
      <c r="B118" s="33" t="n"/>
      <c r="C118" s="34" t="n"/>
      <c r="D118" s="34" t="n"/>
      <c r="E118" s="35" t="n"/>
      <c r="F118" s="35" t="n"/>
      <c r="G118" s="41" t="n"/>
      <c r="H118" s="34" t="n"/>
      <c r="I118" s="36" t="n"/>
      <c r="J118" s="37" t="n"/>
    </row>
    <row r="119" ht="15" customHeight="1" s="62">
      <c r="A119" s="54" t="n"/>
      <c r="B119" s="33" t="n"/>
      <c r="C119" s="34" t="n"/>
      <c r="D119" s="34" t="n"/>
      <c r="E119" s="35" t="n"/>
      <c r="F119" s="35" t="n"/>
      <c r="G119" s="41" t="n"/>
      <c r="H119" s="34" t="n"/>
      <c r="I119" s="36" t="n"/>
      <c r="J119" s="37" t="n"/>
    </row>
    <row r="120" ht="15" customHeight="1" s="62">
      <c r="A120" s="54" t="n"/>
      <c r="B120" s="33" t="n"/>
      <c r="C120" s="34" t="n"/>
      <c r="D120" s="34" t="n"/>
      <c r="E120" s="35" t="n"/>
      <c r="F120" s="35" t="n"/>
      <c r="G120" s="41" t="n"/>
      <c r="H120" s="34" t="n"/>
      <c r="I120" s="36" t="n"/>
      <c r="J120" s="37" t="n"/>
    </row>
    <row r="121" ht="15" customHeight="1" s="62">
      <c r="A121" s="54" t="n"/>
      <c r="B121" s="33" t="n"/>
      <c r="C121" s="34" t="n"/>
      <c r="D121" s="34" t="n"/>
      <c r="E121" s="35" t="n"/>
      <c r="F121" s="35" t="n"/>
      <c r="G121" s="41" t="n"/>
      <c r="H121" s="34" t="n"/>
      <c r="I121" s="36" t="n"/>
      <c r="J121" s="37" t="n"/>
    </row>
    <row r="122" ht="15" customHeight="1" s="62">
      <c r="A122" s="54" t="n"/>
      <c r="B122" s="33" t="n"/>
      <c r="C122" s="34" t="n"/>
      <c r="D122" s="34" t="n"/>
      <c r="E122" s="35" t="n"/>
      <c r="F122" s="35" t="n"/>
      <c r="G122" s="41" t="n"/>
      <c r="H122" s="34" t="n"/>
      <c r="I122" s="36" t="n"/>
      <c r="J122" s="37" t="n"/>
    </row>
    <row r="123" ht="15" customHeight="1" s="62">
      <c r="A123" s="54" t="n"/>
      <c r="B123" s="33" t="n"/>
      <c r="C123" s="34" t="n"/>
      <c r="D123" s="34" t="n"/>
      <c r="E123" s="35" t="n"/>
      <c r="F123" s="35" t="n"/>
      <c r="G123" s="41" t="n"/>
      <c r="H123" s="34" t="n"/>
      <c r="I123" s="36" t="n"/>
      <c r="J123" s="37" t="n"/>
    </row>
    <row r="124" ht="15" customHeight="1" s="62">
      <c r="A124" s="54" t="n"/>
      <c r="B124" s="33" t="n"/>
      <c r="C124" s="34" t="n"/>
      <c r="D124" s="34" t="n"/>
      <c r="E124" s="35" t="n"/>
      <c r="F124" s="35" t="n"/>
      <c r="G124" s="41" t="n"/>
      <c r="H124" s="34" t="n"/>
      <c r="I124" s="36" t="n"/>
      <c r="J124" s="37" t="n"/>
    </row>
    <row r="125" ht="15" customHeight="1" s="62">
      <c r="A125" s="54" t="n"/>
      <c r="B125" s="33" t="n"/>
      <c r="C125" s="34" t="n"/>
      <c r="D125" s="34" t="n"/>
      <c r="E125" s="35" t="n"/>
      <c r="F125" s="35" t="n"/>
      <c r="G125" s="41" t="n"/>
      <c r="H125" s="34" t="n"/>
      <c r="I125" s="36" t="n"/>
      <c r="J125" s="37" t="n"/>
    </row>
    <row r="126" ht="15" customHeight="1" s="62">
      <c r="A126" s="54" t="n"/>
      <c r="B126" s="33" t="n"/>
      <c r="C126" s="34" t="n"/>
      <c r="D126" s="34" t="n"/>
      <c r="E126" s="35" t="n"/>
      <c r="F126" s="35" t="n"/>
      <c r="G126" s="41" t="n"/>
      <c r="H126" s="34" t="n"/>
      <c r="I126" s="36" t="n"/>
      <c r="J126" s="37" t="n"/>
    </row>
    <row r="127" ht="15" customHeight="1" s="62">
      <c r="A127" s="54" t="n"/>
      <c r="B127" s="33" t="n"/>
      <c r="C127" s="34" t="n"/>
      <c r="D127" s="34" t="n"/>
      <c r="E127" s="35" t="n"/>
      <c r="F127" s="35" t="n"/>
      <c r="G127" s="41" t="n"/>
      <c r="H127" s="34" t="n"/>
      <c r="I127" s="36" t="n"/>
      <c r="J127" s="37" t="n"/>
    </row>
    <row r="128" ht="15" customHeight="1" s="62">
      <c r="A128" s="54" t="n"/>
      <c r="B128" s="33" t="n"/>
      <c r="C128" s="34" t="n"/>
      <c r="D128" s="34" t="n"/>
      <c r="E128" s="35" t="n"/>
      <c r="F128" s="35" t="n"/>
      <c r="G128" s="41" t="n"/>
      <c r="H128" s="34" t="n"/>
      <c r="I128" s="36" t="n"/>
      <c r="J128" s="37" t="n"/>
    </row>
    <row r="129" ht="15" customHeight="1" s="62">
      <c r="A129" s="54" t="n"/>
      <c r="B129" s="33" t="n"/>
      <c r="C129" s="34" t="n"/>
      <c r="D129" s="34" t="n"/>
      <c r="E129" s="35" t="n"/>
      <c r="F129" s="35" t="n"/>
      <c r="G129" s="41" t="n"/>
      <c r="H129" s="34" t="n"/>
      <c r="I129" s="36" t="n"/>
      <c r="J129" s="37" t="n"/>
    </row>
    <row r="130" ht="15" customHeight="1" s="62">
      <c r="A130" s="54" t="n"/>
      <c r="B130" s="33" t="n"/>
      <c r="C130" s="34" t="n"/>
      <c r="D130" s="34" t="n"/>
      <c r="E130" s="35" t="n"/>
      <c r="F130" s="35" t="n"/>
      <c r="G130" s="41" t="n"/>
      <c r="H130" s="34" t="n"/>
      <c r="I130" s="36" t="n"/>
      <c r="J130" s="37" t="n"/>
    </row>
    <row r="131" ht="15" customHeight="1" s="62">
      <c r="A131" s="54" t="n"/>
      <c r="B131" s="33" t="n"/>
      <c r="C131" s="34" t="n"/>
      <c r="D131" s="34" t="n"/>
      <c r="E131" s="35" t="n"/>
      <c r="F131" s="35" t="n"/>
      <c r="G131" s="41" t="n"/>
      <c r="H131" s="34" t="n"/>
      <c r="I131" s="36" t="n"/>
      <c r="J131" s="37" t="n"/>
    </row>
    <row r="132" ht="15" customHeight="1" s="62">
      <c r="A132" s="54" t="n"/>
      <c r="B132" s="33" t="n"/>
      <c r="C132" s="34" t="n"/>
      <c r="D132" s="34" t="n"/>
      <c r="E132" s="35" t="n"/>
      <c r="F132" s="35" t="n"/>
      <c r="G132" s="41" t="n"/>
      <c r="H132" s="34" t="n"/>
      <c r="I132" s="36" t="n"/>
      <c r="J132" s="37" t="n"/>
    </row>
    <row r="133" ht="15" customHeight="1" s="62">
      <c r="A133" s="54" t="n"/>
      <c r="B133" s="33" t="n"/>
      <c r="C133" s="34" t="n"/>
      <c r="D133" s="34" t="n"/>
      <c r="E133" s="35" t="n"/>
      <c r="F133" s="35" t="n"/>
      <c r="G133" s="41" t="n"/>
      <c r="H133" s="34" t="n"/>
      <c r="I133" s="36" t="n"/>
      <c r="J133" s="37" t="n"/>
    </row>
    <row r="134" ht="15" customHeight="1" s="62">
      <c r="A134" s="54" t="n"/>
      <c r="B134" s="33" t="n"/>
      <c r="C134" s="34" t="n"/>
      <c r="D134" s="34" t="n"/>
      <c r="E134" s="35" t="n"/>
      <c r="F134" s="35" t="n"/>
      <c r="G134" s="41" t="n"/>
      <c r="H134" s="34" t="n"/>
      <c r="I134" s="36" t="n"/>
      <c r="J134" s="37" t="n"/>
    </row>
    <row r="135" ht="15" customHeight="1" s="62">
      <c r="A135" s="54" t="n"/>
      <c r="B135" s="33" t="n"/>
      <c r="C135" s="34" t="n"/>
      <c r="D135" s="34" t="n"/>
      <c r="E135" s="35" t="n"/>
      <c r="F135" s="35" t="n"/>
      <c r="G135" s="41" t="n"/>
      <c r="H135" s="34" t="n"/>
      <c r="I135" s="36" t="n"/>
      <c r="J135" s="37" t="n"/>
    </row>
    <row r="136" ht="15" customHeight="1" s="62">
      <c r="A136" s="54" t="n"/>
      <c r="B136" s="33" t="n"/>
      <c r="C136" s="34" t="n"/>
      <c r="D136" s="34" t="n"/>
      <c r="E136" s="35" t="n"/>
      <c r="F136" s="35" t="n"/>
      <c r="G136" s="41" t="n"/>
      <c r="H136" s="34" t="n"/>
      <c r="I136" s="36" t="n"/>
      <c r="J136" s="37" t="n"/>
    </row>
    <row r="137" ht="15" customHeight="1" s="62">
      <c r="A137" s="54" t="n"/>
      <c r="B137" s="33" t="n"/>
      <c r="C137" s="34" t="n"/>
      <c r="D137" s="34" t="n"/>
      <c r="E137" s="35" t="n"/>
      <c r="F137" s="35" t="n"/>
      <c r="G137" s="41" t="n"/>
      <c r="H137" s="34" t="n"/>
      <c r="I137" s="36" t="n"/>
      <c r="J137" s="37" t="n"/>
    </row>
    <row r="138" ht="15" customHeight="1" s="62">
      <c r="A138" s="54" t="n"/>
      <c r="B138" s="33" t="n"/>
      <c r="C138" s="34" t="n"/>
      <c r="D138" s="34" t="n"/>
      <c r="E138" s="35" t="n"/>
      <c r="F138" s="35" t="n"/>
      <c r="G138" s="41" t="n"/>
      <c r="H138" s="34" t="n"/>
      <c r="I138" s="36" t="n"/>
      <c r="J138" s="37" t="n"/>
    </row>
    <row r="139" ht="15" customHeight="1" s="62">
      <c r="A139" s="54" t="n"/>
      <c r="B139" s="33" t="n"/>
      <c r="C139" s="34" t="n"/>
      <c r="D139" s="34" t="n"/>
      <c r="E139" s="35" t="n"/>
      <c r="F139" s="35" t="n"/>
      <c r="G139" s="41" t="n"/>
      <c r="H139" s="34" t="n"/>
      <c r="I139" s="36" t="n"/>
      <c r="J139" s="37" t="n"/>
    </row>
    <row r="140" ht="15" customHeight="1" s="62">
      <c r="A140" s="54" t="n"/>
      <c r="B140" s="33" t="n"/>
      <c r="C140" s="34" t="n"/>
      <c r="D140" s="34" t="n"/>
      <c r="E140" s="35" t="n"/>
      <c r="F140" s="35" t="n"/>
      <c r="G140" s="41" t="n"/>
      <c r="H140" s="34" t="n"/>
      <c r="I140" s="36" t="n"/>
      <c r="J140" s="37" t="n"/>
    </row>
    <row r="141" ht="15" customHeight="1" s="62">
      <c r="A141" s="54" t="n"/>
      <c r="B141" s="33" t="n"/>
      <c r="C141" s="34" t="n"/>
      <c r="D141" s="34" t="n"/>
      <c r="E141" s="35" t="n"/>
      <c r="F141" s="35" t="n"/>
      <c r="G141" s="41" t="n"/>
      <c r="H141" s="34" t="n"/>
      <c r="I141" s="36" t="n"/>
      <c r="J141" s="37" t="n"/>
    </row>
    <row r="142" ht="15" customHeight="1" s="62">
      <c r="A142" s="54" t="n"/>
      <c r="B142" s="33" t="n"/>
      <c r="C142" s="34" t="n"/>
      <c r="D142" s="34" t="n"/>
      <c r="E142" s="35" t="n"/>
      <c r="F142" s="35" t="n"/>
      <c r="G142" s="41" t="n"/>
      <c r="H142" s="34" t="n"/>
      <c r="I142" s="36" t="n"/>
      <c r="J142" s="37" t="n"/>
    </row>
    <row r="143" ht="15" customHeight="1" s="62">
      <c r="A143" s="54" t="n"/>
      <c r="B143" s="33" t="n"/>
      <c r="C143" s="34" t="n"/>
      <c r="D143" s="34" t="n"/>
      <c r="E143" s="35" t="n"/>
      <c r="F143" s="35" t="n"/>
      <c r="G143" s="41" t="n"/>
      <c r="H143" s="34" t="n"/>
      <c r="I143" s="36" t="n"/>
      <c r="J143" s="37" t="n"/>
    </row>
    <row r="144" ht="15" customHeight="1" s="62">
      <c r="A144" s="54" t="n"/>
      <c r="B144" s="33" t="n"/>
      <c r="C144" s="34" t="n"/>
      <c r="D144" s="34" t="n"/>
      <c r="E144" s="35" t="n"/>
      <c r="F144" s="35" t="n"/>
      <c r="G144" s="41" t="n"/>
      <c r="H144" s="34" t="n"/>
      <c r="I144" s="36" t="n"/>
      <c r="J144" s="37" t="n"/>
    </row>
    <row r="145" ht="15" customHeight="1" s="62">
      <c r="A145" s="54" t="n"/>
      <c r="B145" s="33" t="n"/>
      <c r="C145" s="34" t="n"/>
      <c r="D145" s="34" t="n"/>
      <c r="E145" s="35" t="n"/>
      <c r="F145" s="35" t="n"/>
      <c r="G145" s="41" t="n"/>
      <c r="H145" s="34" t="n"/>
      <c r="I145" s="36" t="n"/>
      <c r="J145" s="37" t="n"/>
    </row>
    <row r="146" ht="15" customHeight="1" s="62">
      <c r="A146" s="54" t="n"/>
      <c r="B146" s="33" t="n"/>
      <c r="C146" s="34" t="n"/>
      <c r="D146" s="34" t="n"/>
      <c r="E146" s="35" t="n"/>
      <c r="F146" s="35" t="n"/>
      <c r="G146" s="41" t="n"/>
      <c r="H146" s="34" t="n"/>
      <c r="I146" s="36" t="n"/>
      <c r="J146" s="37" t="n"/>
    </row>
    <row r="147" ht="15" customHeight="1" s="62">
      <c r="A147" s="54" t="n"/>
      <c r="B147" s="33" t="n"/>
      <c r="C147" s="34" t="n"/>
      <c r="D147" s="34" t="n"/>
      <c r="E147" s="35" t="n"/>
      <c r="F147" s="35" t="n"/>
      <c r="G147" s="41" t="n"/>
      <c r="H147" s="34" t="n"/>
      <c r="I147" s="36" t="n"/>
      <c r="J147" s="37" t="n"/>
    </row>
    <row r="148" ht="15" customHeight="1" s="62">
      <c r="A148" s="54" t="n"/>
      <c r="B148" s="33" t="n"/>
      <c r="C148" s="34" t="n"/>
      <c r="D148" s="34" t="n"/>
      <c r="E148" s="35" t="n"/>
      <c r="F148" s="35" t="n"/>
      <c r="G148" s="41" t="n"/>
      <c r="H148" s="34" t="n"/>
      <c r="I148" s="36" t="n"/>
      <c r="J148" s="37" t="n"/>
    </row>
    <row r="149" ht="15" customHeight="1" s="62">
      <c r="A149" s="54" t="n"/>
      <c r="B149" s="33" t="n"/>
      <c r="C149" s="34" t="n"/>
      <c r="D149" s="34" t="n"/>
      <c r="E149" s="35" t="n"/>
      <c r="F149" s="35" t="n"/>
      <c r="G149" s="41" t="n"/>
      <c r="H149" s="34" t="n"/>
      <c r="I149" s="36" t="n"/>
      <c r="J149" s="37" t="n"/>
    </row>
    <row r="150" ht="15" customHeight="1" s="62">
      <c r="A150" s="54" t="n"/>
      <c r="B150" s="33" t="n"/>
      <c r="C150" s="34" t="n"/>
      <c r="D150" s="34" t="n"/>
      <c r="E150" s="35" t="n"/>
      <c r="F150" s="35" t="n"/>
      <c r="G150" s="41" t="n"/>
      <c r="H150" s="34" t="n"/>
      <c r="I150" s="36" t="n"/>
      <c r="J150" s="37" t="n"/>
    </row>
    <row r="151" ht="15" customHeight="1" s="62">
      <c r="A151" s="54" t="n"/>
      <c r="B151" s="33" t="n"/>
      <c r="C151" s="34" t="n"/>
      <c r="D151" s="34" t="n"/>
      <c r="E151" s="35" t="n"/>
      <c r="F151" s="35" t="n"/>
      <c r="G151" s="41" t="n"/>
      <c r="H151" s="34" t="n"/>
      <c r="I151" s="36" t="n"/>
      <c r="J151" s="37" t="n"/>
    </row>
    <row r="152" ht="15" customHeight="1" s="62">
      <c r="A152" s="54" t="n"/>
      <c r="B152" s="33" t="n"/>
      <c r="C152" s="34" t="n"/>
      <c r="D152" s="34" t="n"/>
      <c r="E152" s="35" t="n"/>
      <c r="F152" s="35" t="n"/>
      <c r="G152" s="41" t="n"/>
      <c r="H152" s="34" t="n"/>
      <c r="I152" s="36" t="n"/>
      <c r="J152" s="37" t="n"/>
    </row>
    <row r="153" ht="15" customHeight="1" s="62">
      <c r="A153" s="54" t="n"/>
      <c r="B153" s="33" t="n"/>
      <c r="C153" s="34" t="n"/>
      <c r="D153" s="34" t="n"/>
      <c r="E153" s="35" t="n"/>
      <c r="F153" s="35" t="n"/>
      <c r="G153" s="41" t="n"/>
      <c r="H153" s="34" t="n"/>
      <c r="I153" s="36" t="n"/>
      <c r="J153" s="37" t="n"/>
    </row>
    <row r="154" ht="15" customHeight="1" s="62">
      <c r="A154" s="54" t="n"/>
      <c r="B154" s="33" t="n"/>
      <c r="C154" s="34" t="n"/>
      <c r="D154" s="34" t="n"/>
      <c r="E154" s="35" t="n"/>
      <c r="F154" s="35" t="n"/>
      <c r="G154" s="41" t="n"/>
      <c r="H154" s="34" t="n"/>
      <c r="I154" s="36" t="n"/>
      <c r="J154" s="37" t="n"/>
    </row>
    <row r="155" ht="15" customHeight="1" s="62">
      <c r="A155" s="54" t="n"/>
      <c r="B155" s="33" t="n"/>
      <c r="C155" s="34" t="n"/>
      <c r="D155" s="34" t="n"/>
      <c r="E155" s="35" t="n"/>
      <c r="F155" s="35" t="n"/>
      <c r="G155" s="41" t="n"/>
      <c r="H155" s="34" t="n"/>
      <c r="I155" s="36" t="n"/>
      <c r="J155" s="37" t="n"/>
    </row>
    <row r="156" ht="15" customHeight="1" s="62">
      <c r="A156" s="54" t="n"/>
      <c r="B156" s="33" t="n"/>
      <c r="C156" s="34" t="n"/>
      <c r="D156" s="34" t="n"/>
      <c r="E156" s="35" t="n"/>
      <c r="F156" s="35" t="n"/>
      <c r="G156" s="41" t="n"/>
      <c r="H156" s="34" t="n"/>
      <c r="I156" s="36" t="n"/>
      <c r="J156" s="37" t="n"/>
    </row>
    <row r="157" ht="15" customHeight="1" s="62">
      <c r="A157" s="54" t="n"/>
      <c r="B157" s="33" t="n"/>
      <c r="C157" s="34" t="n"/>
      <c r="D157" s="34" t="n"/>
      <c r="E157" s="35" t="n"/>
      <c r="F157" s="35" t="n"/>
      <c r="G157" s="41" t="n"/>
      <c r="H157" s="34" t="n"/>
      <c r="I157" s="36" t="n"/>
      <c r="J157" s="37" t="n"/>
    </row>
    <row r="158" ht="15" customHeight="1" s="62">
      <c r="A158" s="54" t="n"/>
      <c r="B158" s="33" t="n"/>
      <c r="C158" s="34" t="n"/>
      <c r="D158" s="34" t="n"/>
      <c r="E158" s="35" t="n"/>
      <c r="F158" s="35" t="n"/>
      <c r="G158" s="41" t="n"/>
      <c r="H158" s="34" t="n"/>
      <c r="I158" s="36" t="n"/>
      <c r="J158" s="37" t="n"/>
    </row>
    <row r="159" ht="15" customHeight="1" s="62">
      <c r="A159" s="54" t="n"/>
      <c r="B159" s="33" t="n"/>
      <c r="C159" s="34" t="n"/>
      <c r="D159" s="34" t="n"/>
      <c r="E159" s="35" t="n"/>
      <c r="F159" s="35" t="n"/>
      <c r="G159" s="41" t="n"/>
      <c r="H159" s="34" t="n"/>
      <c r="I159" s="36" t="n"/>
      <c r="J159" s="37" t="n"/>
    </row>
    <row r="160" ht="15" customHeight="1" s="62">
      <c r="A160" s="54" t="n"/>
      <c r="B160" s="33" t="n"/>
      <c r="C160" s="34" t="n"/>
      <c r="D160" s="34" t="n"/>
      <c r="E160" s="35" t="n"/>
      <c r="F160" s="35" t="n"/>
      <c r="G160" s="41" t="n"/>
      <c r="H160" s="34" t="n"/>
      <c r="I160" s="36" t="n"/>
      <c r="J160" s="37" t="n"/>
    </row>
    <row r="161" ht="15" customHeight="1" s="62">
      <c r="A161" s="54" t="n"/>
      <c r="B161" s="33" t="n"/>
      <c r="C161" s="34" t="n"/>
      <c r="D161" s="34" t="n"/>
      <c r="E161" s="35" t="n"/>
      <c r="F161" s="35" t="n"/>
      <c r="G161" s="41" t="n"/>
      <c r="H161" s="34" t="n"/>
      <c r="I161" s="36" t="n"/>
      <c r="J161" s="37" t="n"/>
    </row>
    <row r="162" ht="15" customHeight="1" s="62">
      <c r="A162" s="54" t="n"/>
      <c r="B162" s="33" t="n"/>
      <c r="C162" s="34" t="n"/>
      <c r="D162" s="34" t="n"/>
      <c r="E162" s="35" t="n"/>
      <c r="F162" s="35" t="n"/>
      <c r="G162" s="41" t="n"/>
      <c r="H162" s="34" t="n"/>
      <c r="I162" s="36" t="n"/>
      <c r="J162" s="37" t="n"/>
    </row>
    <row r="163" ht="15" customHeight="1" s="62">
      <c r="A163" s="54" t="n"/>
      <c r="B163" s="33" t="n"/>
      <c r="C163" s="34" t="n"/>
      <c r="D163" s="34" t="n"/>
      <c r="E163" s="35" t="n"/>
      <c r="F163" s="35" t="n"/>
      <c r="G163" s="41" t="n"/>
      <c r="H163" s="34" t="n"/>
      <c r="I163" s="36" t="n"/>
      <c r="J163" s="37" t="n"/>
    </row>
    <row r="164" ht="15" customHeight="1" s="62">
      <c r="A164" s="54" t="n"/>
      <c r="B164" s="33" t="n"/>
      <c r="C164" s="34" t="n"/>
      <c r="D164" s="34" t="n"/>
      <c r="E164" s="35" t="n"/>
      <c r="F164" s="35" t="n"/>
      <c r="G164" s="41" t="n"/>
      <c r="H164" s="34" t="n"/>
      <c r="I164" s="36" t="n"/>
      <c r="J164" s="37" t="n"/>
    </row>
    <row r="165" ht="15" customHeight="1" s="62">
      <c r="A165" s="54" t="n"/>
      <c r="B165" s="33" t="n"/>
      <c r="C165" s="34" t="n"/>
      <c r="D165" s="34" t="n"/>
      <c r="E165" s="35" t="n"/>
      <c r="F165" s="35" t="n"/>
      <c r="G165" s="41" t="n"/>
      <c r="H165" s="34" t="n"/>
      <c r="I165" s="36" t="n"/>
      <c r="J165" s="37" t="n"/>
    </row>
    <row r="166" ht="15" customHeight="1" s="62">
      <c r="A166" s="54" t="n"/>
      <c r="B166" s="33" t="n"/>
      <c r="C166" s="34" t="n"/>
      <c r="D166" s="34" t="n"/>
      <c r="E166" s="35" t="n"/>
      <c r="F166" s="35" t="n"/>
      <c r="G166" s="41" t="n"/>
      <c r="H166" s="34" t="n"/>
      <c r="I166" s="36" t="n"/>
      <c r="J166" s="37" t="n"/>
    </row>
    <row r="167" ht="15" customHeight="1" s="62">
      <c r="A167" s="54" t="n"/>
      <c r="B167" s="33" t="n"/>
      <c r="C167" s="34" t="n"/>
      <c r="D167" s="34" t="n"/>
      <c r="E167" s="35" t="n"/>
      <c r="F167" s="35" t="n"/>
      <c r="G167" s="41" t="n"/>
      <c r="H167" s="34" t="n"/>
      <c r="I167" s="36" t="n"/>
      <c r="J167" s="37" t="n"/>
    </row>
    <row r="168" ht="15" customHeight="1" s="62">
      <c r="A168" s="54" t="n"/>
      <c r="B168" s="33" t="n"/>
      <c r="C168" s="34" t="n"/>
      <c r="D168" s="34" t="n"/>
      <c r="E168" s="35" t="n"/>
      <c r="F168" s="35" t="n"/>
      <c r="G168" s="41" t="n"/>
      <c r="H168" s="34" t="n"/>
      <c r="I168" s="36" t="n"/>
      <c r="J168" s="37" t="n"/>
    </row>
    <row r="169" ht="15" customHeight="1" s="62">
      <c r="A169" s="54" t="n"/>
      <c r="B169" s="33" t="n"/>
      <c r="C169" s="34" t="n"/>
      <c r="D169" s="34" t="n"/>
      <c r="E169" s="35" t="n"/>
      <c r="F169" s="35" t="n"/>
      <c r="G169" s="41" t="n"/>
      <c r="H169" s="34" t="n"/>
      <c r="I169" s="36" t="n"/>
      <c r="J169" s="37" t="n"/>
    </row>
    <row r="170" ht="15" customHeight="1" s="62">
      <c r="A170" s="54" t="n"/>
      <c r="B170" s="33" t="n"/>
      <c r="C170" s="34" t="n"/>
      <c r="D170" s="34" t="n"/>
      <c r="E170" s="35" t="n"/>
      <c r="F170" s="35" t="n"/>
      <c r="G170" s="41" t="n"/>
      <c r="H170" s="34" t="n"/>
      <c r="I170" s="36" t="n"/>
      <c r="J170" s="37" t="n"/>
    </row>
    <row r="171" ht="15" customHeight="1" s="62">
      <c r="A171" s="54" t="n"/>
      <c r="B171" s="33" t="n"/>
      <c r="C171" s="34" t="n"/>
      <c r="D171" s="34" t="n"/>
      <c r="E171" s="35" t="n"/>
      <c r="F171" s="35" t="n"/>
      <c r="G171" s="41" t="n"/>
      <c r="H171" s="34" t="n"/>
      <c r="I171" s="36" t="n"/>
      <c r="J171" s="37" t="n"/>
    </row>
    <row r="172" ht="15" customHeight="1" s="62">
      <c r="A172" s="54" t="n"/>
      <c r="B172" s="33" t="n"/>
      <c r="C172" s="34" t="n"/>
      <c r="D172" s="34" t="n"/>
      <c r="E172" s="35" t="n"/>
      <c r="F172" s="35" t="n"/>
      <c r="G172" s="41" t="n"/>
      <c r="H172" s="34" t="n"/>
      <c r="I172" s="36" t="n"/>
      <c r="J172" s="37" t="n"/>
    </row>
    <row r="173" ht="15" customHeight="1" s="62">
      <c r="A173" s="54" t="n"/>
      <c r="B173" s="33" t="n"/>
      <c r="C173" s="34" t="n"/>
      <c r="D173" s="34" t="n"/>
      <c r="E173" s="35" t="n"/>
      <c r="F173" s="35" t="n"/>
      <c r="G173" s="41" t="n"/>
      <c r="H173" s="34" t="n"/>
      <c r="I173" s="36" t="n"/>
      <c r="J173" s="37" t="n"/>
    </row>
    <row r="174" ht="15" customHeight="1" s="62">
      <c r="A174" s="54" t="n"/>
      <c r="B174" s="33" t="n"/>
      <c r="C174" s="34" t="n"/>
      <c r="D174" s="34" t="n"/>
      <c r="E174" s="35" t="n"/>
      <c r="F174" s="35" t="n"/>
      <c r="G174" s="41" t="n"/>
      <c r="H174" s="34" t="n"/>
      <c r="I174" s="36" t="n"/>
      <c r="J174" s="37" t="n"/>
    </row>
    <row r="175" ht="15" customHeight="1" s="62">
      <c r="A175" s="54" t="n"/>
      <c r="B175" s="33" t="n"/>
      <c r="C175" s="34" t="n"/>
      <c r="D175" s="34" t="n"/>
      <c r="E175" s="35" t="n"/>
      <c r="F175" s="35" t="n"/>
      <c r="G175" s="41" t="n"/>
      <c r="H175" s="34" t="n"/>
      <c r="I175" s="36" t="n"/>
      <c r="J175" s="37" t="n"/>
    </row>
    <row r="176" ht="15" customHeight="1" s="62">
      <c r="A176" s="54" t="n"/>
      <c r="B176" s="33" t="n"/>
      <c r="C176" s="34" t="n"/>
      <c r="D176" s="34" t="n"/>
      <c r="E176" s="35" t="n"/>
      <c r="F176" s="35" t="n"/>
      <c r="G176" s="41" t="n"/>
      <c r="H176" s="34" t="n"/>
      <c r="I176" s="36" t="n"/>
      <c r="J176" s="37" t="n"/>
    </row>
    <row r="177" ht="15" customHeight="1" s="62">
      <c r="A177" s="54" t="n"/>
      <c r="B177" s="33" t="n"/>
      <c r="C177" s="34" t="n"/>
      <c r="D177" s="34" t="n"/>
      <c r="E177" s="35" t="n"/>
      <c r="F177" s="35" t="n"/>
      <c r="G177" s="41" t="n"/>
      <c r="H177" s="34" t="n"/>
      <c r="I177" s="36" t="n"/>
      <c r="J177" s="37" t="n"/>
    </row>
    <row r="178" ht="15" customHeight="1" s="62">
      <c r="A178" s="54" t="n"/>
      <c r="B178" s="33" t="n"/>
      <c r="C178" s="34" t="n"/>
      <c r="D178" s="34" t="n"/>
      <c r="E178" s="35" t="n"/>
      <c r="F178" s="35" t="n"/>
      <c r="G178" s="41" t="n"/>
      <c r="H178" s="34" t="n"/>
      <c r="I178" s="36" t="n"/>
      <c r="J178" s="37" t="n"/>
    </row>
    <row r="179" ht="15" customHeight="1" s="62">
      <c r="A179" s="54" t="n"/>
      <c r="B179" s="33" t="n"/>
      <c r="C179" s="34" t="n"/>
      <c r="D179" s="34" t="n"/>
      <c r="E179" s="35" t="n"/>
      <c r="F179" s="35" t="n"/>
      <c r="G179" s="41" t="n"/>
      <c r="H179" s="34" t="n"/>
      <c r="I179" s="36" t="n"/>
      <c r="J179" s="37" t="n"/>
    </row>
    <row r="180" ht="15" customHeight="1" s="62">
      <c r="A180" s="54" t="n"/>
      <c r="B180" s="33" t="n"/>
      <c r="C180" s="34" t="n"/>
      <c r="D180" s="34" t="n"/>
      <c r="E180" s="35" t="n"/>
      <c r="F180" s="35" t="n"/>
      <c r="G180" s="41" t="n"/>
      <c r="H180" s="34" t="n"/>
      <c r="I180" s="36" t="n"/>
      <c r="J180" s="37" t="n"/>
    </row>
    <row r="181" ht="15" customHeight="1" s="62">
      <c r="A181" s="54" t="n"/>
      <c r="B181" s="33" t="n"/>
      <c r="C181" s="34" t="n"/>
      <c r="D181" s="34" t="n"/>
      <c r="E181" s="35" t="n"/>
      <c r="F181" s="35" t="n"/>
      <c r="G181" s="41" t="n"/>
      <c r="H181" s="34" t="n"/>
      <c r="I181" s="36" t="n"/>
      <c r="J181" s="37" t="n"/>
    </row>
    <row r="182" ht="15" customHeight="1" s="62">
      <c r="A182" s="54" t="n"/>
      <c r="B182" s="33" t="n"/>
      <c r="C182" s="34" t="n"/>
      <c r="D182" s="34" t="n"/>
      <c r="E182" s="35" t="n"/>
      <c r="F182" s="35" t="n"/>
      <c r="G182" s="41" t="n"/>
      <c r="H182" s="34" t="n"/>
      <c r="I182" s="36" t="n"/>
      <c r="J182" s="37" t="n"/>
    </row>
    <row r="183" ht="15" customHeight="1" s="62">
      <c r="A183" s="54" t="n"/>
      <c r="B183" s="33" t="n"/>
      <c r="C183" s="34" t="n"/>
      <c r="D183" s="34" t="n"/>
      <c r="E183" s="35" t="n"/>
      <c r="F183" s="35" t="n"/>
      <c r="G183" s="41" t="n"/>
      <c r="H183" s="34" t="n"/>
      <c r="I183" s="36" t="n"/>
      <c r="J183" s="37" t="n"/>
    </row>
    <row r="184" ht="15" customHeight="1" s="62">
      <c r="A184" s="54" t="n"/>
      <c r="B184" s="33" t="n"/>
      <c r="C184" s="34" t="n"/>
      <c r="D184" s="34" t="n"/>
      <c r="E184" s="35" t="n"/>
      <c r="F184" s="35" t="n"/>
      <c r="G184" s="41" t="n"/>
      <c r="H184" s="34" t="n"/>
      <c r="I184" s="36" t="n"/>
      <c r="J184" s="37" t="n"/>
    </row>
    <row r="185" ht="15" customHeight="1" s="62">
      <c r="A185" s="54" t="n"/>
      <c r="B185" s="33" t="n"/>
      <c r="C185" s="34" t="n"/>
      <c r="D185" s="34" t="n"/>
      <c r="E185" s="35" t="n"/>
      <c r="F185" s="35" t="n"/>
      <c r="G185" s="41" t="n"/>
      <c r="H185" s="34" t="n"/>
      <c r="I185" s="36" t="n"/>
      <c r="J185" s="37" t="n"/>
    </row>
    <row r="186" ht="15" customHeight="1" s="62">
      <c r="A186" s="54" t="n"/>
      <c r="B186" s="33" t="n"/>
      <c r="C186" s="34" t="n"/>
      <c r="D186" s="34" t="n"/>
      <c r="E186" s="35" t="n"/>
      <c r="F186" s="35" t="n"/>
      <c r="G186" s="41" t="n"/>
      <c r="H186" s="34" t="n"/>
      <c r="I186" s="36" t="n"/>
      <c r="J186" s="37" t="n"/>
    </row>
    <row r="187" ht="15" customHeight="1" s="62">
      <c r="A187" s="54" t="n"/>
      <c r="B187" s="33" t="n"/>
      <c r="C187" s="34" t="n"/>
      <c r="D187" s="34" t="n"/>
      <c r="E187" s="35" t="n"/>
      <c r="F187" s="35" t="n"/>
      <c r="G187" s="41" t="n"/>
      <c r="H187" s="34" t="n"/>
      <c r="I187" s="36" t="n"/>
      <c r="J187" s="37" t="n"/>
    </row>
    <row r="188" ht="15" customHeight="1" s="62">
      <c r="A188" s="54" t="n"/>
      <c r="B188" s="33" t="n"/>
      <c r="C188" s="34" t="n"/>
      <c r="D188" s="34" t="n"/>
      <c r="E188" s="35" t="n"/>
      <c r="F188" s="35" t="n"/>
      <c r="G188" s="41" t="n"/>
      <c r="H188" s="34" t="n"/>
      <c r="I188" s="36" t="n"/>
      <c r="J188" s="37" t="n"/>
    </row>
    <row r="189" ht="15" customHeight="1" s="62">
      <c r="A189" s="54" t="n"/>
      <c r="B189" s="33" t="n"/>
      <c r="C189" s="34" t="n"/>
      <c r="D189" s="34" t="n"/>
      <c r="E189" s="35" t="n"/>
      <c r="F189" s="35" t="n"/>
      <c r="G189" s="41" t="n"/>
      <c r="H189" s="34" t="n"/>
      <c r="I189" s="36" t="n"/>
      <c r="J189" s="37" t="n"/>
    </row>
    <row r="190" ht="15" customHeight="1" s="62">
      <c r="A190" s="54" t="n"/>
      <c r="B190" s="33" t="n"/>
      <c r="C190" s="34" t="n"/>
      <c r="D190" s="34" t="n"/>
      <c r="E190" s="35" t="n"/>
      <c r="F190" s="35" t="n"/>
      <c r="G190" s="41" t="n"/>
      <c r="H190" s="34" t="n"/>
      <c r="I190" s="36" t="n"/>
      <c r="J190" s="37" t="n"/>
    </row>
    <row r="191" ht="15" customHeight="1" s="62">
      <c r="A191" s="54" t="n"/>
      <c r="B191" s="33" t="n"/>
      <c r="C191" s="34" t="n"/>
      <c r="D191" s="34" t="n"/>
      <c r="E191" s="35" t="n"/>
      <c r="F191" s="35" t="n"/>
      <c r="G191" s="41" t="n"/>
      <c r="H191" s="34" t="n"/>
      <c r="I191" s="36" t="n"/>
      <c r="J191" s="37" t="n"/>
    </row>
    <row r="192" ht="15" customHeight="1" s="62">
      <c r="A192" s="54" t="n"/>
      <c r="B192" s="33" t="n"/>
      <c r="C192" s="34" t="n"/>
      <c r="D192" s="34" t="n"/>
      <c r="E192" s="35" t="n"/>
      <c r="F192" s="35" t="n"/>
      <c r="G192" s="41" t="n"/>
      <c r="H192" s="34" t="n"/>
      <c r="I192" s="36" t="n"/>
      <c r="J192" s="37" t="n"/>
    </row>
    <row r="193" ht="15" customHeight="1" s="62">
      <c r="A193" s="54" t="n"/>
      <c r="B193" s="33" t="n"/>
      <c r="C193" s="34" t="n"/>
      <c r="D193" s="34" t="n"/>
      <c r="E193" s="35" t="n"/>
      <c r="F193" s="35" t="n"/>
      <c r="G193" s="41" t="n"/>
      <c r="H193" s="34" t="n"/>
      <c r="I193" s="36" t="n"/>
      <c r="J193" s="37" t="n"/>
    </row>
    <row r="194" ht="15" customHeight="1" s="62">
      <c r="A194" s="54" t="n"/>
      <c r="B194" s="33" t="n"/>
      <c r="C194" s="34" t="n"/>
      <c r="D194" s="34" t="n"/>
      <c r="E194" s="35" t="n"/>
      <c r="F194" s="35" t="n"/>
      <c r="G194" s="41" t="n"/>
      <c r="H194" s="34" t="n"/>
      <c r="I194" s="36" t="n"/>
      <c r="J194" s="37" t="n"/>
    </row>
    <row r="195" ht="15" customHeight="1" s="62">
      <c r="A195" s="54" t="n"/>
      <c r="B195" s="33" t="n"/>
      <c r="C195" s="34" t="n"/>
      <c r="D195" s="34" t="n"/>
      <c r="E195" s="35" t="n"/>
      <c r="F195" s="35" t="n"/>
      <c r="G195" s="41" t="n"/>
      <c r="H195" s="34" t="n"/>
      <c r="I195" s="36" t="n"/>
      <c r="J195" s="37" t="n"/>
    </row>
    <row r="196" ht="15" customHeight="1" s="62">
      <c r="A196" s="54" t="n"/>
      <c r="B196" s="33" t="n"/>
      <c r="C196" s="34" t="n"/>
      <c r="D196" s="34" t="n"/>
      <c r="E196" s="35" t="n"/>
      <c r="F196" s="35" t="n"/>
      <c r="G196" s="41" t="n"/>
      <c r="H196" s="34" t="n"/>
      <c r="I196" s="36" t="n"/>
      <c r="J196" s="37" t="n"/>
    </row>
    <row r="197" ht="15" customHeight="1" s="62">
      <c r="A197" s="54" t="n"/>
      <c r="B197" s="33" t="n"/>
      <c r="C197" s="34" t="n"/>
      <c r="D197" s="34" t="n"/>
      <c r="E197" s="35" t="n"/>
      <c r="F197" s="35" t="n"/>
      <c r="G197" s="41" t="n"/>
      <c r="H197" s="34" t="n"/>
      <c r="I197" s="36" t="n"/>
      <c r="J197" s="37" t="n"/>
    </row>
    <row r="198" ht="15" customHeight="1" s="62">
      <c r="A198" s="54" t="n"/>
      <c r="B198" s="33" t="n"/>
      <c r="C198" s="34" t="n"/>
      <c r="D198" s="34" t="n"/>
      <c r="E198" s="35" t="n"/>
      <c r="F198" s="35" t="n"/>
      <c r="G198" s="41" t="n"/>
      <c r="H198" s="34" t="n"/>
      <c r="I198" s="36" t="n"/>
      <c r="J198" s="37" t="n"/>
    </row>
    <row r="199" ht="15" customHeight="1" s="62">
      <c r="A199" s="54" t="n"/>
      <c r="B199" s="33" t="n"/>
      <c r="C199" s="34" t="n"/>
      <c r="D199" s="34" t="n"/>
      <c r="E199" s="35" t="n"/>
      <c r="F199" s="35" t="n"/>
      <c r="G199" s="41" t="n"/>
      <c r="H199" s="34" t="n"/>
      <c r="I199" s="36" t="n"/>
      <c r="J199" s="37" t="n"/>
    </row>
    <row r="200" ht="15" customHeight="1" s="62">
      <c r="A200" s="54" t="n"/>
      <c r="B200" s="33" t="n"/>
      <c r="C200" s="34" t="n"/>
      <c r="D200" s="34" t="n"/>
      <c r="E200" s="35" t="n"/>
      <c r="F200" s="35" t="n"/>
      <c r="G200" s="41" t="n"/>
      <c r="H200" s="34" t="n"/>
      <c r="I200" s="36" t="n"/>
      <c r="J200" s="37" t="n"/>
    </row>
    <row r="201" ht="15" customHeight="1" s="62">
      <c r="A201" s="54" t="n"/>
      <c r="B201" s="33" t="n"/>
      <c r="C201" s="34" t="n"/>
      <c r="D201" s="34" t="n"/>
      <c r="E201" s="35" t="n"/>
      <c r="F201" s="35" t="n"/>
      <c r="G201" s="41" t="n"/>
      <c r="H201" s="34" t="n"/>
      <c r="I201" s="36" t="n"/>
      <c r="J201" s="37" t="n"/>
    </row>
    <row r="202" ht="15" customHeight="1" s="62">
      <c r="A202" s="54" t="n"/>
      <c r="B202" s="33" t="n"/>
      <c r="C202" s="34" t="n"/>
      <c r="D202" s="34" t="n"/>
      <c r="E202" s="35" t="n"/>
      <c r="F202" s="35" t="n"/>
      <c r="G202" s="41" t="n"/>
      <c r="H202" s="34" t="n"/>
      <c r="I202" s="36" t="n"/>
      <c r="J202" s="37" t="n"/>
    </row>
    <row r="203" ht="15" customHeight="1" s="62">
      <c r="A203" s="54" t="n"/>
      <c r="B203" s="33" t="n"/>
      <c r="C203" s="34" t="n"/>
      <c r="D203" s="34" t="n"/>
      <c r="E203" s="35" t="n"/>
      <c r="F203" s="35" t="n"/>
      <c r="G203" s="41" t="n"/>
      <c r="H203" s="34" t="n"/>
      <c r="I203" s="36" t="n"/>
      <c r="J203" s="37" t="n"/>
    </row>
    <row r="204" ht="15" customHeight="1" s="62">
      <c r="A204" s="54" t="n"/>
      <c r="B204" s="33" t="n"/>
      <c r="C204" s="34" t="n"/>
      <c r="D204" s="34" t="n"/>
      <c r="E204" s="35" t="n"/>
      <c r="F204" s="35" t="n"/>
      <c r="G204" s="41" t="n"/>
      <c r="H204" s="34" t="n"/>
      <c r="I204" s="36" t="n"/>
      <c r="J204" s="37" t="n"/>
    </row>
    <row r="205" ht="15" customHeight="1" s="62">
      <c r="A205" s="54" t="n"/>
      <c r="B205" s="33" t="n"/>
      <c r="C205" s="34" t="n"/>
      <c r="D205" s="34" t="n"/>
      <c r="E205" s="35" t="n"/>
      <c r="F205" s="35" t="n"/>
      <c r="G205" s="41" t="n"/>
      <c r="H205" s="34" t="n"/>
      <c r="I205" s="36" t="n"/>
      <c r="J205" s="37" t="n"/>
    </row>
  </sheetData>
  <mergeCells count="3">
    <mergeCell ref="A1:J1"/>
    <mergeCell ref="A4:J4"/>
    <mergeCell ref="A2:J2"/>
  </mergeCells>
  <conditionalFormatting sqref="A6:H100">
    <cfRule type="expression" priority="9" dxfId="1">
      <formula>$C6="Monthly Rent Charge"</formula>
    </cfRule>
    <cfRule type="expression" priority="11" dxfId="0">
      <formula>$C6="Payment Received"</formula>
    </cfRule>
  </conditionalFormatting>
  <conditionalFormatting sqref="H3">
    <cfRule type="cellIs" priority="16" operator="lessThan" dxfId="3">
      <formula>0</formula>
    </cfRule>
    <cfRule type="cellIs" priority="17" operator="equal" dxfId="3">
      <formula>0</formula>
    </cfRule>
    <cfRule type="cellIs" priority="18" operator="greaterThan" dxfId="2">
      <formula>0</formula>
    </cfRule>
  </conditionalFormatting>
  <conditionalFormatting sqref="I6:I100">
    <cfRule type="cellIs" priority="13" operator="lessThan" dxfId="3">
      <formula>0</formula>
    </cfRule>
    <cfRule type="cellIs" priority="14" operator="equal" dxfId="3">
      <formula>0</formula>
    </cfRule>
    <cfRule type="cellIs" priority="15" operator="greaterThan" dxfId="2">
      <formula>0</formula>
    </cfRule>
  </conditionalFormatting>
  <conditionalFormatting sqref="J6:J100">
    <cfRule type="expression" priority="10" dxfId="1">
      <formula>$C6="Monthly Rent Charge"</formula>
    </cfRule>
    <cfRule type="expression" priority="12" dxfId="0">
      <formula>$C6="Payment Received"</formula>
    </cfRule>
  </conditionalFormatting>
  <dataValidations count="3">
    <dataValidation sqref="B6:B41" showDropDown="0" showInputMessage="0" showErrorMessage="0" allowBlank="1" type="list">
      <formula1>"January,February,March,April,May,June,July,August,September,October,November,December"</formula1>
      <formula2>0</formula2>
    </dataValidation>
    <dataValidation sqref="C6:C41" showDropDown="0" showInputMessage="0" showErrorMessage="0" allowBlank="1" type="list">
      <formula1>"Monthly Rent Charge,Payment Received"</formula1>
      <formula2>0</formula2>
    </dataValidation>
    <dataValidation sqref="A6:A205" showDropDown="0" showInputMessage="1" showErrorMessage="1" allowBlank="1" errorTitle="Invalid date" error="Please enter a valid date." promptTitle="Select a date" prompt="Use the date picker or enter a valid payment date here." type="date">
      <formula1>DATE(2000,1,1)</formula1>
      <formula2>DATE(2100,12,31)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05"/>
  <sheetViews>
    <sheetView topLeftCell="A37" zoomScaleNormal="100" workbookViewId="0">
      <selection activeCell="H56" sqref="H56"/>
    </sheetView>
  </sheetViews>
  <sheetFormatPr baseColWidth="8" defaultColWidth="8.6640625" defaultRowHeight="14.4"/>
  <cols>
    <col width="14" customWidth="1" style="62" min="1" max="1"/>
    <col width="24" customWidth="1" style="62" min="3" max="3"/>
    <col width="13.5546875" customWidth="1" style="62" min="4" max="4"/>
    <col width="15" customWidth="1" style="62" min="5" max="5"/>
    <col width="17" customWidth="1" style="62" min="6" max="6"/>
    <col width="18" customWidth="1" style="62" min="7" max="7"/>
    <col width="22" customWidth="1" style="62" min="8" max="8"/>
    <col width="17" customWidth="1" style="62" min="9" max="9"/>
    <col width="30" customWidth="1" style="62" min="10" max="10"/>
    <col width="12" customWidth="1" style="62" min="11" max="11"/>
    <col width="10" customWidth="1" style="62" min="12" max="12"/>
  </cols>
  <sheetData>
    <row r="1" ht="19.5" customHeight="1" s="62">
      <c r="A1" s="74" t="inlineStr">
        <is>
          <t>Unit B3 — Tenant Statement / Ledger</t>
        </is>
      </c>
    </row>
    <row r="2" ht="27.75" customHeight="1" s="62">
      <c r="A2" s="76" t="inlineStr">
        <is>
          <t>Select a month to create a Monthly Rent Charge: the date fills as the first day of that month (current year) and description fills automatically. For a payment, leave Month blank and choose Payment Received.</t>
        </is>
      </c>
    </row>
    <row r="3" ht="15" customHeight="1" s="62">
      <c r="A3" s="25" t="inlineStr">
        <is>
          <t>Unit</t>
        </is>
      </c>
      <c r="B3" s="25" t="inlineStr">
        <is>
          <t>B3</t>
        </is>
      </c>
      <c r="C3" s="25" t="inlineStr">
        <is>
          <t>Current Rent</t>
        </is>
      </c>
      <c r="D3" s="26" t="n">
        <v>4500</v>
      </c>
      <c r="E3" s="26" t="inlineStr">
        <is>
          <t>Garbage</t>
        </is>
      </c>
      <c r="F3" s="26" t="n">
        <v>200</v>
      </c>
      <c r="G3" s="25" t="inlineStr">
        <is>
          <t>Current Balance</t>
        </is>
      </c>
      <c r="H3" s="27">
        <f>IFERROR(LOOKUP(9.99E+307,I6:I70),0)</f>
        <v/>
      </c>
      <c r="I3" s="25" t="inlineStr">
        <is>
          <t>Tenant</t>
        </is>
      </c>
      <c r="J3" s="28" t="inlineStr">
        <is>
          <t>FRANKLIN JOHN</t>
        </is>
      </c>
      <c r="K3" s="29" t="inlineStr">
        <is>
          <t>Deposit Held</t>
        </is>
      </c>
      <c r="L3" s="30" t="n">
        <v>0</v>
      </c>
    </row>
    <row r="4">
      <c r="A4" s="75" t="inlineStr">
        <is>
          <t>Current tenant only. When vacating → copy rows to Archive sheet, then clear this ledger.</t>
        </is>
      </c>
    </row>
    <row r="5" ht="15" customHeight="1" s="62">
      <c r="A5" s="31" t="inlineStr">
        <is>
          <t>Date</t>
        </is>
      </c>
      <c r="B5" s="31" t="inlineStr">
        <is>
          <t>Month</t>
        </is>
      </c>
      <c r="C5" s="31" t="inlineStr">
        <is>
          <t>Description</t>
        </is>
      </c>
      <c r="D5" s="31" t="inlineStr">
        <is>
          <t>Tenant</t>
        </is>
      </c>
      <c r="E5" s="31" t="inlineStr">
        <is>
          <t>Rent Charged</t>
        </is>
      </c>
      <c r="F5" s="31" t="inlineStr">
        <is>
          <t>Garbage Charged</t>
        </is>
      </c>
      <c r="G5" s="31" t="inlineStr">
        <is>
          <t>Payment Received</t>
        </is>
      </c>
      <c r="H5" s="31" t="inlineStr">
        <is>
          <t>M-Pesa Reference</t>
        </is>
      </c>
      <c r="I5" s="31" t="inlineStr">
        <is>
          <t>Running Balance</t>
        </is>
      </c>
      <c r="J5" s="31" t="inlineStr">
        <is>
          <t>Remarks</t>
        </is>
      </c>
    </row>
    <row r="6" ht="15" customHeight="1" s="62">
      <c r="A6" s="54" t="n">
        <v>45413</v>
      </c>
      <c r="B6" s="33" t="inlineStr">
        <is>
          <t>May</t>
        </is>
      </c>
      <c r="C6" s="34">
        <f>IF(B6="","","Monthly Rent Charge")</f>
        <v/>
      </c>
      <c r="D6" s="34" t="n"/>
      <c r="E6" s="35">
        <f>IF(C6="Monthly Rent Charge",$D$3,"")</f>
        <v/>
      </c>
      <c r="F6" s="35">
        <f>IF(C6="Monthly Rent Charge",$F$3,"")</f>
        <v/>
      </c>
      <c r="G6" s="41" t="n"/>
      <c r="H6" s="34" t="n"/>
      <c r="I6" s="36">
        <f>IF(A6="","",IF(C6="Payment Received",-IFERROR(G6,0),IF(C6="Monthly Rent Charge",IFERROR(E6,0)+IFERROR(F6,0),0)))</f>
        <v/>
      </c>
      <c r="J6" s="37" t="n"/>
    </row>
    <row r="7" ht="15" customHeight="1" s="62">
      <c r="A7" s="53" t="n">
        <v>45419</v>
      </c>
      <c r="B7" s="33" t="n"/>
      <c r="C7" s="34" t="inlineStr">
        <is>
          <t>Payment Received</t>
        </is>
      </c>
      <c r="D7" s="34" t="n"/>
      <c r="E7" s="35">
        <f>IF(C7="Monthly Rent Charge",$D$3,"")</f>
        <v/>
      </c>
      <c r="F7" s="35">
        <f>IF(C7="Monthly Rent Charge",$F$3,"")</f>
        <v/>
      </c>
      <c r="G7" s="41" t="n">
        <v>6000</v>
      </c>
      <c r="H7" s="39" t="inlineStr">
        <is>
          <t>SE72GP81IE</t>
        </is>
      </c>
      <c r="I7" s="36">
        <f>IF(A7="","",IF(C7="Payment Received",I6-IFERROR(G7,0),IF(C7="Monthly Rent Charge",I6+IFERROR(E7,0)+IFERROR(F7,0),I6)))</f>
        <v/>
      </c>
      <c r="J7" s="37" t="n"/>
    </row>
    <row r="8" ht="15" customHeight="1" s="62">
      <c r="A8" s="54" t="n">
        <v>45444</v>
      </c>
      <c r="B8" s="33" t="inlineStr">
        <is>
          <t>June</t>
        </is>
      </c>
      <c r="C8" s="34">
        <f>IF(B8="","","Monthly Rent Charge")</f>
        <v/>
      </c>
      <c r="D8" s="34" t="n"/>
      <c r="E8" s="35">
        <f>IF(C8="Monthly Rent Charge",$D$3,"")</f>
        <v/>
      </c>
      <c r="F8" s="35">
        <f>IF(C8="Monthly Rent Charge",$F$3,"")</f>
        <v/>
      </c>
      <c r="G8" s="41" t="n"/>
      <c r="H8" s="34" t="n"/>
      <c r="I8" s="36">
        <f>IF(A8="","",IF(C8="Payment Received",I7-IFERROR(G8,0),IF(C8="Monthly Rent Charge",I7+IFERROR(E8,0)+IFERROR(F8,0),I7)))</f>
        <v/>
      </c>
      <c r="J8" s="37" t="n"/>
    </row>
    <row r="9" ht="15" customHeight="1" s="62">
      <c r="A9" s="53" t="n">
        <v>45469</v>
      </c>
      <c r="B9" s="33" t="n"/>
      <c r="C9" s="34" t="inlineStr">
        <is>
          <t>Payment Received</t>
        </is>
      </c>
      <c r="D9" s="34" t="n"/>
      <c r="E9" s="35">
        <f>IF(C9="Monthly Rent Charge",$D$3,"")</f>
        <v/>
      </c>
      <c r="F9" s="35">
        <f>IF(C9="Monthly Rent Charge",$F$3,"")</f>
        <v/>
      </c>
      <c r="G9" s="41" t="n">
        <v>5000</v>
      </c>
      <c r="H9" s="39" t="inlineStr">
        <is>
          <t>SFQ7O1P4Q7</t>
        </is>
      </c>
      <c r="I9" s="36">
        <f>IF(A9="","",IF(C9="Payment Received",I8-IFERROR(G9,0),IF(C9="Monthly Rent Charge",I8+IFERROR(E9,0)+IFERROR(F9,0),I8)))</f>
        <v/>
      </c>
      <c r="J9" s="37" t="n"/>
    </row>
    <row r="10" ht="15" customHeight="1" s="62">
      <c r="A10" s="54" t="n">
        <v>45474</v>
      </c>
      <c r="B10" s="33" t="inlineStr">
        <is>
          <t>July</t>
        </is>
      </c>
      <c r="C10" s="34">
        <f>IF(B10="","","Monthly Rent Charge")</f>
        <v/>
      </c>
      <c r="D10" s="34" t="n"/>
      <c r="E10" s="35">
        <f>IF(C10="Monthly Rent Charge",$D$3,"")</f>
        <v/>
      </c>
      <c r="F10" s="35">
        <f>IF(C10="Monthly Rent Charge",$F$3,"")</f>
        <v/>
      </c>
      <c r="G10" s="41" t="n"/>
      <c r="H10" s="34" t="n"/>
      <c r="I10" s="36">
        <f>IF(A10="","",IF(C10="Payment Received",I9-IFERROR(G10,0),IF(C10="Monthly Rent Charge",I9+IFERROR(E10,0)+IFERROR(F10,0),I9)))</f>
        <v/>
      </c>
      <c r="J10" s="37" t="n"/>
    </row>
    <row r="11" ht="15" customHeight="1" s="62">
      <c r="A11" s="54" t="n">
        <v>45505</v>
      </c>
      <c r="B11" s="33" t="inlineStr">
        <is>
          <t>August</t>
        </is>
      </c>
      <c r="C11" s="34">
        <f>IF(B11="","","Monthly Rent Charge")</f>
        <v/>
      </c>
      <c r="D11" s="34" t="n"/>
      <c r="E11" s="35">
        <f>IF(C11="Monthly Rent Charge",$D$3,"")</f>
        <v/>
      </c>
      <c r="F11" s="35">
        <f>IF(C11="Monthly Rent Charge",$F$3,"")</f>
        <v/>
      </c>
      <c r="G11" s="41" t="n"/>
      <c r="H11" s="34" t="n"/>
      <c r="I11" s="36">
        <f>IF(A11="","",IF(C11="Payment Received",I10-IFERROR(G11,0),IF(C11="Monthly Rent Charge",I10+IFERROR(E11,0)+IFERROR(F11,0),I10)))</f>
        <v/>
      </c>
      <c r="J11" s="37" t="n"/>
    </row>
    <row r="12" ht="15" customHeight="1" s="62">
      <c r="A12" s="53" t="n">
        <v>45509</v>
      </c>
      <c r="B12" s="33" t="n"/>
      <c r="C12" s="34" t="inlineStr">
        <is>
          <t>Payment Received</t>
        </is>
      </c>
      <c r="D12" s="34" t="n"/>
      <c r="E12" s="35">
        <f>IF(C12="Monthly Rent Charge",$D$3,"")</f>
        <v/>
      </c>
      <c r="F12" s="35">
        <f>IF(C12="Monthly Rent Charge",$F$3,"")</f>
        <v/>
      </c>
      <c r="G12" s="41" t="n">
        <v>6000</v>
      </c>
      <c r="H12" s="39" t="inlineStr">
        <is>
          <t>SH54Z1VEDA</t>
        </is>
      </c>
      <c r="I12" s="36">
        <f>IF(A12="","",IF(C12="Payment Received",I11-IFERROR(G12,0),IF(C12="Monthly Rent Charge",I11+IFERROR(E12,0)+IFERROR(F12,0),I11)))</f>
        <v/>
      </c>
      <c r="J12" s="37" t="n"/>
    </row>
    <row r="13" ht="15" customHeight="1" s="62">
      <c r="A13" s="53" t="n">
        <v>45524</v>
      </c>
      <c r="B13" s="33" t="n"/>
      <c r="C13" s="34" t="inlineStr">
        <is>
          <t>Payment Received</t>
        </is>
      </c>
      <c r="D13" s="34" t="n"/>
      <c r="E13" s="35">
        <f>IF(C13="Monthly Rent Charge",$D$3,"")</f>
        <v/>
      </c>
      <c r="F13" s="35">
        <f>IF(C13="Monthly Rent Charge",$F$3,"")</f>
        <v/>
      </c>
      <c r="G13" s="41" t="n">
        <v>2000</v>
      </c>
      <c r="H13" s="39" t="inlineStr">
        <is>
          <t>SHK8NLDH6I</t>
        </is>
      </c>
      <c r="I13" s="36">
        <f>IF(A13="","",IF(C13="Payment Received",I12-IFERROR(G13,0),IF(C13="Monthly Rent Charge",I12+IFERROR(E13,0)+IFERROR(F13,0),I12)))</f>
        <v/>
      </c>
      <c r="J13" s="37" t="n"/>
    </row>
    <row r="14" ht="15" customHeight="1" s="62">
      <c r="A14" s="54" t="n">
        <v>45536</v>
      </c>
      <c r="B14" s="33" t="inlineStr">
        <is>
          <t>September</t>
        </is>
      </c>
      <c r="C14" s="34">
        <f>IF(B14="","","Monthly Rent Charge")</f>
        <v/>
      </c>
      <c r="D14" s="34" t="n"/>
      <c r="E14" s="35">
        <f>IF(C14="Monthly Rent Charge",$D$3,"")</f>
        <v/>
      </c>
      <c r="F14" s="35">
        <f>IF(C14="Monthly Rent Charge",$F$3,"")</f>
        <v/>
      </c>
      <c r="G14" s="41" t="n"/>
      <c r="H14" s="34" t="n"/>
      <c r="I14" s="36">
        <f>IF(A14="","",IF(C14="Payment Received",I13-IFERROR(G14,0),IF(C14="Monthly Rent Charge",I13+IFERROR(E14,0)+IFERROR(F14,0),I13)))</f>
        <v/>
      </c>
      <c r="J14" s="37" t="n"/>
    </row>
    <row r="15" ht="15" customHeight="1" s="62">
      <c r="A15" s="53" t="n">
        <v>45550</v>
      </c>
      <c r="B15" s="33" t="n"/>
      <c r="C15" s="34" t="inlineStr">
        <is>
          <t>Payment Received</t>
        </is>
      </c>
      <c r="D15" s="34" t="n"/>
      <c r="E15" s="35">
        <f>IF(C15="Monthly Rent Charge",$D$3,"")</f>
        <v/>
      </c>
      <c r="F15" s="35">
        <f>IF(C15="Monthly Rent Charge",$F$3,"")</f>
        <v/>
      </c>
      <c r="G15" s="41" t="n">
        <v>5000</v>
      </c>
      <c r="H15" s="39" t="inlineStr">
        <is>
          <t>SIFOQ9SMKK</t>
        </is>
      </c>
      <c r="I15" s="36">
        <f>IF(A15="","",IF(C15="Payment Received",I14-IFERROR(G15,0),IF(C15="Monthly Rent Charge",I14+IFERROR(E15,0)+IFERROR(F15,0),I14)))</f>
        <v/>
      </c>
      <c r="J15" s="37" t="n"/>
    </row>
    <row r="16" ht="15" customHeight="1" s="62">
      <c r="A16" s="54" t="n">
        <v>45566</v>
      </c>
      <c r="B16" s="33" t="inlineStr">
        <is>
          <t>October</t>
        </is>
      </c>
      <c r="C16" s="34">
        <f>IF(B16="","","Monthly Rent Charge")</f>
        <v/>
      </c>
      <c r="D16" s="34" t="n"/>
      <c r="E16" s="35">
        <f>IF(C16="Monthly Rent Charge",$D$3,"")</f>
        <v/>
      </c>
      <c r="F16" s="35">
        <f>IF(C16="Monthly Rent Charge",$F$3,"")</f>
        <v/>
      </c>
      <c r="G16" s="41" t="n"/>
      <c r="H16" s="34" t="n"/>
      <c r="I16" s="36">
        <f>IF(A16="","",IF(C16="Payment Received",I15-IFERROR(G16,0),IF(C16="Monthly Rent Charge",I15+IFERROR(E16,0)+IFERROR(F16,0),I15)))</f>
        <v/>
      </c>
      <c r="J16" s="37" t="n"/>
    </row>
    <row r="17" ht="15" customHeight="1" s="62">
      <c r="A17" s="53" t="n">
        <v>45585</v>
      </c>
      <c r="B17" s="33" t="n"/>
      <c r="C17" s="34" t="inlineStr">
        <is>
          <t>Payment Received</t>
        </is>
      </c>
      <c r="D17" s="34" t="n"/>
      <c r="E17" s="35">
        <f>IF(C17="Monthly Rent Charge",$D$3,"")</f>
        <v/>
      </c>
      <c r="F17" s="35">
        <f>IF(C17="Monthly Rent Charge",$F$3,"")</f>
        <v/>
      </c>
      <c r="G17" s="41" t="n">
        <v>5000</v>
      </c>
      <c r="H17" s="39" t="inlineStr">
        <is>
          <t>SJK4ROWXV2</t>
        </is>
      </c>
      <c r="I17" s="36">
        <f>IF(A17="","",IF(C17="Payment Received",I16-IFERROR(G17,0),IF(C17="Monthly Rent Charge",I16+IFERROR(E17,0)+IFERROR(F17,0),I16)))</f>
        <v/>
      </c>
      <c r="J17" s="37" t="n"/>
    </row>
    <row r="18" ht="15" customHeight="1" s="62">
      <c r="A18" s="54" t="n">
        <v>45597</v>
      </c>
      <c r="B18" s="33" t="inlineStr">
        <is>
          <t>November</t>
        </is>
      </c>
      <c r="C18" s="34">
        <f>IF(B18="","","Monthly Rent Charge")</f>
        <v/>
      </c>
      <c r="D18" s="34" t="n"/>
      <c r="E18" s="35">
        <f>IF(C18="Monthly Rent Charge",$D$3,"")</f>
        <v/>
      </c>
      <c r="F18" s="35">
        <f>IF(C18="Monthly Rent Charge",$F$3,"")</f>
        <v/>
      </c>
      <c r="G18" s="41" t="n"/>
      <c r="H18" s="34" t="n"/>
      <c r="I18" s="36">
        <f>IF(A18="","",IF(C18="Payment Received",I17-IFERROR(G18,0),IF(C18="Monthly Rent Charge",I17+IFERROR(E18,0)+IFERROR(F18,0),I17)))</f>
        <v/>
      </c>
      <c r="J18" s="37" t="n"/>
    </row>
    <row r="19" ht="15" customHeight="1" s="62">
      <c r="A19" s="54" t="n">
        <v>45627</v>
      </c>
      <c r="B19" s="33" t="inlineStr">
        <is>
          <t>December</t>
        </is>
      </c>
      <c r="C19" s="34">
        <f>IF(B19="","","Monthly Rent Charge")</f>
        <v/>
      </c>
      <c r="D19" s="34" t="n"/>
      <c r="E19" s="35">
        <f>IF(C19="Monthly Rent Charge",$D$3,"")</f>
        <v/>
      </c>
      <c r="F19" s="35">
        <f>IF(C19="Monthly Rent Charge",$F$3,"")</f>
        <v/>
      </c>
      <c r="G19" s="41" t="n"/>
      <c r="H19" s="34" t="n"/>
      <c r="I19" s="36">
        <f>IF(A19="","",IF(C19="Payment Received",I18-IFERROR(G19,0),IF(C19="Monthly Rent Charge",I18+IFERROR(E19,0)+IFERROR(F19,0),I18)))</f>
        <v/>
      </c>
      <c r="J19" s="37" t="n"/>
    </row>
    <row r="20" ht="15" customHeight="1" s="62">
      <c r="A20" s="53" t="n">
        <v>45633</v>
      </c>
      <c r="B20" s="33" t="n"/>
      <c r="C20" s="34" t="inlineStr">
        <is>
          <t>Payment Received</t>
        </is>
      </c>
      <c r="D20" s="34" t="n"/>
      <c r="E20" s="35">
        <f>IF(C20="Monthly Rent Charge",$D$3,"")</f>
        <v/>
      </c>
      <c r="F20" s="35">
        <f>IF(C20="Monthly Rent Charge",$F$3,"")</f>
        <v/>
      </c>
      <c r="G20" s="41" t="n">
        <v>7000</v>
      </c>
      <c r="H20" s="39" t="inlineStr">
        <is>
          <t>SL79JCIRMV</t>
        </is>
      </c>
      <c r="I20" s="36">
        <f>IF(A20="","",IF(C20="Payment Received",I19-IFERROR(G20,0),IF(C20="Monthly Rent Charge",I19+IFERROR(E20,0)+IFERROR(F20,0),I19)))</f>
        <v/>
      </c>
      <c r="J20" s="37" t="n"/>
    </row>
    <row r="21" ht="15" customHeight="1" s="62">
      <c r="A21" s="54" t="n">
        <v>45658</v>
      </c>
      <c r="B21" s="33" t="inlineStr">
        <is>
          <t>January</t>
        </is>
      </c>
      <c r="C21" s="34">
        <f>IF(B21="","","Monthly Rent Charge")</f>
        <v/>
      </c>
      <c r="D21" s="34" t="n"/>
      <c r="E21" s="35">
        <f>IF(C21="Monthly Rent Charge",$D$3,"")</f>
        <v/>
      </c>
      <c r="F21" s="35">
        <f>IF(C21="Monthly Rent Charge",$F$3,"")</f>
        <v/>
      </c>
      <c r="G21" s="41" t="n"/>
      <c r="H21" s="34" t="n"/>
      <c r="I21" s="36">
        <f>IF(A21="","",IF(C21="Payment Received",I20-IFERROR(G21,0),IF(C21="Monthly Rent Charge",I20+IFERROR(E21,0)+IFERROR(F21,0),I20)))</f>
        <v/>
      </c>
      <c r="J21" s="37" t="n"/>
    </row>
    <row r="22" ht="15" customHeight="1" s="62">
      <c r="A22" s="53" t="n">
        <v>45671</v>
      </c>
      <c r="B22" s="33" t="n"/>
      <c r="C22" s="34" t="inlineStr">
        <is>
          <t>Payment Received</t>
        </is>
      </c>
      <c r="D22" s="34" t="n"/>
      <c r="E22" s="35">
        <f>IF(C22="Monthly Rent Charge",$D$3,"")</f>
        <v/>
      </c>
      <c r="F22" s="35">
        <f>IF(C22="Monthly Rent Charge",$F$3,"")</f>
        <v/>
      </c>
      <c r="G22" s="41" t="n">
        <v>4700</v>
      </c>
      <c r="H22" s="39" t="inlineStr">
        <is>
          <t>TAE782TMOL</t>
        </is>
      </c>
      <c r="I22" s="36">
        <f>IF(A22="","",IF(C22="Payment Received",I21-IFERROR(G22,0),IF(C22="Monthly Rent Charge",I21+IFERROR(E22,0)+IFERROR(F22,0),I21)))</f>
        <v/>
      </c>
      <c r="J22" s="37" t="n"/>
    </row>
    <row r="23" ht="15" customHeight="1" s="62">
      <c r="A23" s="54" t="n">
        <v>45689</v>
      </c>
      <c r="B23" s="33" t="inlineStr">
        <is>
          <t>February</t>
        </is>
      </c>
      <c r="C23" s="34">
        <f>IF(B23="","","Monthly Rent Charge")</f>
        <v/>
      </c>
      <c r="D23" s="34" t="n"/>
      <c r="E23" s="35">
        <f>IF(C23="Monthly Rent Charge",$D$3,"")</f>
        <v/>
      </c>
      <c r="F23" s="35">
        <f>IF(C23="Monthly Rent Charge",$F$3,"")</f>
        <v/>
      </c>
      <c r="G23" s="41" t="n"/>
      <c r="H23" s="34" t="n"/>
      <c r="I23" s="36">
        <f>IF(A23="","",IF(C23="Payment Received",I22-IFERROR(G23,0),IF(C23="Monthly Rent Charge",I22+IFERROR(E23,0)+IFERROR(F23,0),I22)))</f>
        <v/>
      </c>
      <c r="J23" s="37" t="n"/>
    </row>
    <row r="24" ht="15" customHeight="1" s="62">
      <c r="A24" s="53" t="n">
        <v>45692</v>
      </c>
      <c r="B24" s="33" t="n"/>
      <c r="C24" s="34" t="inlineStr">
        <is>
          <t>Payment Received</t>
        </is>
      </c>
      <c r="D24" s="34" t="n"/>
      <c r="E24" s="35">
        <f>IF(C24="Monthly Rent Charge",$D$3,"")</f>
        <v/>
      </c>
      <c r="F24" s="35">
        <f>IF(C24="Monthly Rent Charge",$F$3,"")</f>
        <v/>
      </c>
      <c r="G24" s="41" t="n">
        <v>5000</v>
      </c>
      <c r="H24" s="39" t="inlineStr">
        <is>
          <t>TB46PKU890</t>
        </is>
      </c>
      <c r="I24" s="36">
        <f>IF(A24="","",IF(C24="Payment Received",I23-IFERROR(G24,0),IF(C24="Monthly Rent Charge",I23+IFERROR(E24,0)+IFERROR(F24,0),I23)))</f>
        <v/>
      </c>
      <c r="J24" s="37" t="n"/>
    </row>
    <row r="25" ht="15" customHeight="1" s="62">
      <c r="A25" s="54" t="n">
        <v>45717</v>
      </c>
      <c r="B25" s="33" t="inlineStr">
        <is>
          <t>March</t>
        </is>
      </c>
      <c r="C25" s="34">
        <f>IF(B25="","","Monthly Rent Charge")</f>
        <v/>
      </c>
      <c r="D25" s="34" t="n"/>
      <c r="E25" s="35">
        <f>IF(C25="Monthly Rent Charge",$D$3,"")</f>
        <v/>
      </c>
      <c r="F25" s="35">
        <f>IF(C25="Monthly Rent Charge",$F$3,"")</f>
        <v/>
      </c>
      <c r="G25" s="41" t="n"/>
      <c r="H25" s="34" t="n"/>
      <c r="I25" s="36">
        <f>IF(A25="","",IF(C25="Payment Received",I24-IFERROR(G25,0),IF(C25="Monthly Rent Charge",I24+IFERROR(E25,0)+IFERROR(F25,0),I24)))</f>
        <v/>
      </c>
      <c r="J25" s="37" t="n"/>
    </row>
    <row r="26" ht="15" customHeight="1" s="62">
      <c r="A26" s="53" t="n">
        <v>45721</v>
      </c>
      <c r="B26" s="33" t="n"/>
      <c r="C26" s="34" t="inlineStr">
        <is>
          <t>Payment Received</t>
        </is>
      </c>
      <c r="D26" s="34" t="n"/>
      <c r="E26" s="35">
        <f>IF(C26="Monthly Rent Charge",$D$3,"")</f>
        <v/>
      </c>
      <c r="F26" s="35">
        <f>IF(C26="Monthly Rent Charge",$F$3,"")</f>
        <v/>
      </c>
      <c r="G26" s="41" t="n">
        <v>4700</v>
      </c>
      <c r="H26" s="39" t="inlineStr">
        <is>
          <t>TC51J9PSCX</t>
        </is>
      </c>
      <c r="I26" s="36">
        <f>IF(A26="","",IF(C26="Payment Received",I25-IFERROR(G26,0),IF(C26="Monthly Rent Charge",I25+IFERROR(E26,0)+IFERROR(F26,0),I25)))</f>
        <v/>
      </c>
      <c r="J26" s="37" t="n"/>
    </row>
    <row r="27" ht="15" customHeight="1" s="62">
      <c r="A27" s="54" t="n">
        <v>45748</v>
      </c>
      <c r="B27" s="33" t="inlineStr">
        <is>
          <t>April</t>
        </is>
      </c>
      <c r="C27" s="34">
        <f>IF(B27="","","Monthly Rent Charge")</f>
        <v/>
      </c>
      <c r="D27" s="34" t="n"/>
      <c r="E27" s="35">
        <f>IF(C27="Monthly Rent Charge",$D$3,"")</f>
        <v/>
      </c>
      <c r="F27" s="35">
        <f>IF(C27="Monthly Rent Charge",$F$3,"")</f>
        <v/>
      </c>
      <c r="G27" s="41" t="n"/>
      <c r="H27" s="34" t="n"/>
      <c r="I27" s="36">
        <f>IF(A27="","",IF(C27="Payment Received",I26-IFERROR(G27,0),IF(C27="Monthly Rent Charge",I26+IFERROR(E27,0)+IFERROR(F27,0),I26)))</f>
        <v/>
      </c>
      <c r="J27" s="37" t="n"/>
    </row>
    <row r="28" ht="15" customHeight="1" s="62">
      <c r="A28" s="54" t="n">
        <v>45778</v>
      </c>
      <c r="B28" s="33" t="inlineStr">
        <is>
          <t>May</t>
        </is>
      </c>
      <c r="C28" s="34">
        <f>IF(B28="","","Monthly Rent Charge")</f>
        <v/>
      </c>
      <c r="D28" s="34" t="n"/>
      <c r="E28" s="35">
        <f>IF(C28="Monthly Rent Charge",$D$3,"")</f>
        <v/>
      </c>
      <c r="F28" s="35">
        <f>IF(C28="Monthly Rent Charge",$F$3,"")</f>
        <v/>
      </c>
      <c r="G28" s="41" t="n"/>
      <c r="H28" s="34" t="n"/>
      <c r="I28" s="36">
        <f>IF(A28="","",IF(C28="Payment Received",I27-IFERROR(G28,0),IF(C28="Monthly Rent Charge",I27+IFERROR(E28,0)+IFERROR(F28,0),I27)))</f>
        <v/>
      </c>
      <c r="J28" s="37" t="n"/>
    </row>
    <row r="29" ht="15" customHeight="1" s="62">
      <c r="A29" s="53" t="n">
        <v>45782</v>
      </c>
      <c r="B29" s="33" t="n"/>
      <c r="C29" s="34" t="inlineStr">
        <is>
          <t>Payment Received</t>
        </is>
      </c>
      <c r="D29" s="34" t="n"/>
      <c r="E29" s="35">
        <f>IF(C29="Monthly Rent Charge",$D$3,"")</f>
        <v/>
      </c>
      <c r="F29" s="35">
        <f>IF(C29="Monthly Rent Charge",$F$3,"")</f>
        <v/>
      </c>
      <c r="G29" s="41" t="n">
        <v>5000</v>
      </c>
      <c r="H29" s="39" t="inlineStr">
        <is>
          <t>TE56HZGEJU</t>
        </is>
      </c>
      <c r="I29" s="36">
        <f>IF(A29="","",IF(C29="Payment Received",I28-IFERROR(G29,0),IF(C29="Monthly Rent Charge",I28+IFERROR(E29,0)+IFERROR(F29,0),I28)))</f>
        <v/>
      </c>
      <c r="J29" s="37" t="n"/>
    </row>
    <row r="30" ht="15" customHeight="1" s="62">
      <c r="A30" s="54" t="n">
        <v>45809</v>
      </c>
      <c r="B30" s="33" t="inlineStr">
        <is>
          <t>June</t>
        </is>
      </c>
      <c r="C30" s="34">
        <f>IF(B30="","","Monthly Rent Charge")</f>
        <v/>
      </c>
      <c r="D30" s="34" t="n"/>
      <c r="E30" s="35">
        <f>IF(C30="Monthly Rent Charge",$D$3,"")</f>
        <v/>
      </c>
      <c r="F30" s="35">
        <f>IF(C30="Monthly Rent Charge",$F$3,"")</f>
        <v/>
      </c>
      <c r="G30" s="41" t="n"/>
      <c r="H30" s="34" t="n"/>
      <c r="I30" s="36">
        <f>IF(A30="","",IF(C30="Payment Received",I29-IFERROR(G30,0),IF(C30="Monthly Rent Charge",I29+IFERROR(E30,0)+IFERROR(F30,0),I29)))</f>
        <v/>
      </c>
      <c r="J30" s="37" t="n"/>
    </row>
    <row r="31" ht="15" customHeight="1" s="62">
      <c r="A31" s="54" t="n">
        <v>45839</v>
      </c>
      <c r="B31" s="33" t="inlineStr">
        <is>
          <t>July</t>
        </is>
      </c>
      <c r="C31" s="34">
        <f>IF(B31="","","Monthly Rent Charge")</f>
        <v/>
      </c>
      <c r="D31" s="34" t="n"/>
      <c r="E31" s="35">
        <f>IF(C31="Monthly Rent Charge",$D$3,"")</f>
        <v/>
      </c>
      <c r="F31" s="35">
        <f>IF(C31="Monthly Rent Charge",$F$3,"")</f>
        <v/>
      </c>
      <c r="G31" s="41" t="n"/>
      <c r="H31" s="34" t="n"/>
      <c r="I31" s="36">
        <f>IF(A31="","",IF(C31="Payment Received",I30-IFERROR(G31,0),IF(C31="Monthly Rent Charge",I30+IFERROR(E31,0)+IFERROR(F31,0),I30)))</f>
        <v/>
      </c>
      <c r="J31" s="37" t="n"/>
    </row>
    <row r="32" ht="15" customHeight="1" s="62">
      <c r="A32" s="54" t="n">
        <v>45870</v>
      </c>
      <c r="B32" s="33" t="inlineStr">
        <is>
          <t>August</t>
        </is>
      </c>
      <c r="C32" s="34">
        <f>IF(B32="","","Monthly Rent Charge")</f>
        <v/>
      </c>
      <c r="D32" s="34" t="n"/>
      <c r="E32" s="35">
        <f>IF(C32="Monthly Rent Charge",$D$3,"")</f>
        <v/>
      </c>
      <c r="F32" s="35">
        <f>IF(C32="Monthly Rent Charge",$F$3,"")</f>
        <v/>
      </c>
      <c r="G32" s="41" t="n"/>
      <c r="H32" s="34" t="n"/>
      <c r="I32" s="36">
        <f>IF(A32="","",IF(C32="Payment Received",I31-IFERROR(G32,0),IF(C32="Monthly Rent Charge",I31+IFERROR(E32,0)+IFERROR(F32,0),I31)))</f>
        <v/>
      </c>
      <c r="J32" s="37" t="n"/>
    </row>
    <row r="33" ht="15" customHeight="1" s="62">
      <c r="A33" s="53" t="n">
        <v>45873</v>
      </c>
      <c r="B33" s="33" t="n"/>
      <c r="C33" s="34" t="inlineStr">
        <is>
          <t>Payment Received</t>
        </is>
      </c>
      <c r="D33" s="34" t="n"/>
      <c r="E33" s="35">
        <f>IF(C33="Monthly Rent Charge",$D$3,"")</f>
        <v/>
      </c>
      <c r="F33" s="35">
        <f>IF(C33="Monthly Rent Charge",$F$3,"")</f>
        <v/>
      </c>
      <c r="G33" s="41" t="n">
        <v>4500</v>
      </c>
      <c r="H33" s="39" t="inlineStr">
        <is>
          <t>TH45XSZUVX</t>
        </is>
      </c>
      <c r="I33" s="36">
        <f>IF(A33="","",IF(C33="Payment Received",I32-IFERROR(G33,0),IF(C33="Monthly Rent Charge",I32+IFERROR(E33,0)+IFERROR(F33,0),I32)))</f>
        <v/>
      </c>
      <c r="J33" s="37" t="n"/>
    </row>
    <row r="34" ht="15" customHeight="1" s="62">
      <c r="A34" s="54" t="n">
        <v>45901</v>
      </c>
      <c r="B34" s="33" t="inlineStr">
        <is>
          <t>September</t>
        </is>
      </c>
      <c r="C34" s="34">
        <f>IF(B34="","","Monthly Rent Charge")</f>
        <v/>
      </c>
      <c r="D34" s="34" t="n"/>
      <c r="E34" s="35">
        <f>IF(C34="Monthly Rent Charge",$D$3,"")</f>
        <v/>
      </c>
      <c r="F34" s="35">
        <f>IF(C34="Monthly Rent Charge",$F$3,"")</f>
        <v/>
      </c>
      <c r="G34" s="41" t="n"/>
      <c r="H34" s="34" t="n"/>
      <c r="I34" s="36">
        <f>IF(A34="","",IF(C34="Payment Received",I33-IFERROR(G34,0),IF(C34="Monthly Rent Charge",I33+IFERROR(E34,0)+IFERROR(F34,0),I33)))</f>
        <v/>
      </c>
      <c r="J34" s="37" t="n"/>
    </row>
    <row r="35" ht="15" customHeight="1" s="62">
      <c r="A35" s="54" t="n">
        <v>45931</v>
      </c>
      <c r="B35" s="33" t="inlineStr">
        <is>
          <t>October</t>
        </is>
      </c>
      <c r="C35" s="34">
        <f>IF(B35="","","Monthly Rent Charge")</f>
        <v/>
      </c>
      <c r="D35" s="34" t="n"/>
      <c r="E35" s="35">
        <f>IF(C35="Monthly Rent Charge",$D$3,"")</f>
        <v/>
      </c>
      <c r="F35" s="35">
        <f>IF(C35="Monthly Rent Charge",$F$3,"")</f>
        <v/>
      </c>
      <c r="G35" s="41" t="n"/>
      <c r="H35" s="34" t="n"/>
      <c r="I35" s="36">
        <f>IF(A35="","",IF(C35="Payment Received",I34-IFERROR(G35,0),IF(C35="Monthly Rent Charge",I34+IFERROR(E35,0)+IFERROR(F35,0),I34)))</f>
        <v/>
      </c>
      <c r="J35" s="37" t="n"/>
    </row>
    <row r="36" ht="15" customHeight="1" s="62">
      <c r="A36" s="53" t="n">
        <v>45952</v>
      </c>
      <c r="B36" s="33" t="n"/>
      <c r="C36" s="34" t="inlineStr">
        <is>
          <t>Payment Received</t>
        </is>
      </c>
      <c r="D36" s="34" t="n"/>
      <c r="E36" s="35">
        <f>IF(C36="Monthly Rent Charge",$D$3,"")</f>
        <v/>
      </c>
      <c r="F36" s="35">
        <f>IF(C36="Monthly Rent Charge",$F$3,"")</f>
        <v/>
      </c>
      <c r="G36" s="41" t="n">
        <v>2000</v>
      </c>
      <c r="H36" s="39" t="inlineStr">
        <is>
          <t>TJMIW828GW</t>
        </is>
      </c>
      <c r="I36" s="36">
        <f>IF(A36="","",IF(C36="Payment Received",I35-IFERROR(G36,0),IF(C36="Monthly Rent Charge",I35+IFERROR(E36,0)+IFERROR(F36,0),I35)))</f>
        <v/>
      </c>
      <c r="J36" s="37" t="n"/>
    </row>
    <row r="37" ht="15" customHeight="1" s="62">
      <c r="A37" s="54" t="n">
        <v>45962</v>
      </c>
      <c r="B37" s="33" t="inlineStr">
        <is>
          <t>November</t>
        </is>
      </c>
      <c r="C37" s="34">
        <f>IF(B37="","","Monthly Rent Charge")</f>
        <v/>
      </c>
      <c r="D37" s="34" t="n"/>
      <c r="E37" s="35">
        <f>IF(C37="Monthly Rent Charge",$D$3,"")</f>
        <v/>
      </c>
      <c r="F37" s="35">
        <f>IF(C37="Monthly Rent Charge",$F$3,"")</f>
        <v/>
      </c>
      <c r="G37" s="41" t="n"/>
      <c r="H37" s="34" t="n"/>
      <c r="I37" s="36">
        <f>IF(A37="","",IF(C37="Payment Received",I36-IFERROR(G37,0),IF(C37="Monthly Rent Charge",I36+IFERROR(E37,0)+IFERROR(F37,0),I36)))</f>
        <v/>
      </c>
      <c r="J37" s="37" t="n"/>
    </row>
    <row r="38" ht="15" customHeight="1" s="62">
      <c r="A38" s="53" t="n">
        <v>45963</v>
      </c>
      <c r="B38" s="33" t="n"/>
      <c r="C38" s="34" t="inlineStr">
        <is>
          <t>Payment Received</t>
        </is>
      </c>
      <c r="D38" s="34" t="n"/>
      <c r="E38" s="35">
        <f>IF(C38="Monthly Rent Charge",$D$3,"")</f>
        <v/>
      </c>
      <c r="F38" s="35">
        <f>IF(C38="Monthly Rent Charge",$F$3,"")</f>
        <v/>
      </c>
      <c r="G38" s="41" t="n">
        <v>2000</v>
      </c>
      <c r="H38" t="inlineStr">
        <is>
          <t>TK2IW92DMR</t>
        </is>
      </c>
      <c r="I38" s="36">
        <f>IF(A38="","",IF(C38="Payment Received",I37-IFERROR(G38,0),IF(C38="Monthly Rent Charge",I37+IFERROR(E38,0)+IFERROR(F38,0),I37)))</f>
        <v/>
      </c>
      <c r="J38" s="37" t="n"/>
    </row>
    <row r="39" ht="15" customHeight="1" s="62">
      <c r="A39" s="53" t="n">
        <v>45969</v>
      </c>
      <c r="B39" s="33" t="n"/>
      <c r="C39" s="34" t="inlineStr">
        <is>
          <t>Payment Received</t>
        </is>
      </c>
      <c r="D39" s="34" t="n"/>
      <c r="E39" s="35">
        <f>IF(C39="Monthly Rent Charge",$D$3,"")</f>
        <v/>
      </c>
      <c r="F39" s="35">
        <f>IF(C39="Monthly Rent Charge",$F$3,"")</f>
        <v/>
      </c>
      <c r="G39" s="41" t="n">
        <v>2000</v>
      </c>
      <c r="H39" t="inlineStr">
        <is>
          <t>TK8IW9NRK8</t>
        </is>
      </c>
      <c r="I39" s="36">
        <f>IF(A39="","",IF(C39="Payment Received",I38-IFERROR(G39,0),IF(C39="Monthly Rent Charge",I38+IFERROR(E39,0)+IFERROR(F39,0),I38)))</f>
        <v/>
      </c>
      <c r="J39" s="37" t="n"/>
    </row>
    <row r="40" ht="15" customHeight="1" s="62">
      <c r="A40" s="54" t="n">
        <v>45992</v>
      </c>
      <c r="B40" s="33" t="inlineStr">
        <is>
          <t>December</t>
        </is>
      </c>
      <c r="C40" s="34">
        <f>IF(B40="","","Monthly Rent Charge")</f>
        <v/>
      </c>
      <c r="D40" s="34" t="n"/>
      <c r="E40" s="35">
        <f>IF(C40="Monthly Rent Charge",$D$3,"")</f>
        <v/>
      </c>
      <c r="F40" s="35">
        <f>IF(C40="Monthly Rent Charge",$F$3,"")</f>
        <v/>
      </c>
      <c r="G40" s="41" t="n"/>
      <c r="H40" s="34" t="n"/>
      <c r="I40" s="36">
        <f>IF(A40="","",IF(C40="Payment Received",I39-IFERROR(G40,0),IF(C40="Monthly Rent Charge",I39+IFERROR(E40,0)+IFERROR(F40,0),I39)))</f>
        <v/>
      </c>
      <c r="J40" s="37" t="n"/>
    </row>
    <row r="41" ht="15" customHeight="1" s="62">
      <c r="A41" s="53" t="n">
        <v>46010</v>
      </c>
      <c r="B41" s="33" t="n"/>
      <c r="C41" s="34" t="inlineStr">
        <is>
          <t>Payment Received</t>
        </is>
      </c>
      <c r="D41" s="34" t="n"/>
      <c r="E41" s="35">
        <f>IF(C41="Monthly Rent Charge",$D$3,"")</f>
        <v/>
      </c>
      <c r="F41" s="35">
        <f>IF(C41="Monthly Rent Charge",$F$3,"")</f>
        <v/>
      </c>
      <c r="G41" s="41" t="n">
        <v>5000</v>
      </c>
      <c r="H41" t="inlineStr">
        <is>
          <t>TLJIW1GYTT</t>
        </is>
      </c>
      <c r="I41" s="36">
        <f>IF(A41="","",IF(C41="Payment Received",I40-IFERROR(G41,0),IF(C41="Monthly Rent Charge",I40+IFERROR(E41,0)+IFERROR(F41,0),I40)))</f>
        <v/>
      </c>
      <c r="J41" s="37" t="n"/>
    </row>
    <row r="42" ht="15" customHeight="1" s="62">
      <c r="A42" s="54">
        <f>IF(B42="","",DATE(YEAR(TODAY()),MATCH(B42,{"January","February","March","April","May","June","July","August","September","October","November","December"},0),1))</f>
        <v/>
      </c>
      <c r="B42" s="33" t="inlineStr">
        <is>
          <t>January</t>
        </is>
      </c>
      <c r="C42" s="34">
        <f>IF(B42="","","Monthly Rent Charge")</f>
        <v/>
      </c>
      <c r="D42" s="34" t="n"/>
      <c r="E42" s="35">
        <f>IF(C42="Monthly Rent Charge",$D$3,"")</f>
        <v/>
      </c>
      <c r="F42" s="35">
        <f>IF(C42="Monthly Rent Charge",$F$3,"")</f>
        <v/>
      </c>
      <c r="G42" s="41" t="n"/>
      <c r="H42" s="34" t="n"/>
      <c r="I42" s="36">
        <f>IF(A42="","",IF(C42="Payment Received",I41-IFERROR(G42,0),IF(C42="Monthly Rent Charge",I41+IFERROR(E42,0)+IFERROR(F42,0),I41)))</f>
        <v/>
      </c>
      <c r="J42" s="37" t="n"/>
    </row>
    <row r="43" ht="15" customHeight="1" s="62">
      <c r="A43" s="53" t="n">
        <v>46035</v>
      </c>
      <c r="B43" s="33" t="n"/>
      <c r="C43" s="34" t="inlineStr">
        <is>
          <t>Payment Received</t>
        </is>
      </c>
      <c r="D43" s="34" t="n"/>
      <c r="E43" s="35">
        <f>IF(C43="Monthly Rent Charge",$D$3,"")</f>
        <v/>
      </c>
      <c r="F43" s="35">
        <f>IF(C43="Monthly Rent Charge",$F$3,"")</f>
        <v/>
      </c>
      <c r="G43" s="41" t="n">
        <v>5000</v>
      </c>
      <c r="H43" t="inlineStr">
        <is>
          <t>UADIW3QWRY</t>
        </is>
      </c>
      <c r="I43" s="36">
        <f>IF(A43="","",IF(C43="Payment Received",I42-IFERROR(G43,0),IF(C43="Monthly Rent Charge",I42+IFERROR(E43,0)+IFERROR(F43,0),I42)))</f>
        <v/>
      </c>
      <c r="J43" s="37" t="n"/>
    </row>
    <row r="44" ht="15" customHeight="1" s="62">
      <c r="A44" s="54">
        <f>IF(B44="","",DATE(YEAR(TODAY()),MATCH(B44,{"January","February","March","April","May","June","July","August","September","October","November","December"},0),1))</f>
        <v/>
      </c>
      <c r="B44" s="33" t="inlineStr">
        <is>
          <t>February</t>
        </is>
      </c>
      <c r="C44" s="34">
        <f>IF(B44="","","Monthly Rent Charge")</f>
        <v/>
      </c>
      <c r="D44" s="34" t="n"/>
      <c r="E44" s="35">
        <f>IF(C44="Monthly Rent Charge",$D$3,"")</f>
        <v/>
      </c>
      <c r="F44" s="35">
        <f>IF(C44="Monthly Rent Charge",$F$3,"")</f>
        <v/>
      </c>
      <c r="G44" s="41" t="n"/>
      <c r="H44" s="34" t="n"/>
      <c r="I44" s="36">
        <f>IF(A44="","",IF(C44="Payment Received",I43-IFERROR(G44,0),IF(C44="Monthly Rent Charge",I43+IFERROR(E44,0)+IFERROR(F44,0),I43)))</f>
        <v/>
      </c>
      <c r="J44" s="37" t="n"/>
    </row>
    <row r="45" ht="15" customHeight="1" s="62">
      <c r="A45" s="53" t="n">
        <v>46057</v>
      </c>
      <c r="B45" s="33" t="n"/>
      <c r="C45" s="34" t="inlineStr">
        <is>
          <t>Payment Received</t>
        </is>
      </c>
      <c r="D45" s="34" t="n"/>
      <c r="E45" s="35">
        <f>IF(C45="Monthly Rent Charge",$D$3,"")</f>
        <v/>
      </c>
      <c r="F45" s="35">
        <f>IF(C45="Monthly Rent Charge",$F$3,"")</f>
        <v/>
      </c>
      <c r="G45" s="41" t="n">
        <v>5000</v>
      </c>
      <c r="H45" t="inlineStr">
        <is>
          <t>UB4IW5SO5K</t>
        </is>
      </c>
      <c r="I45" s="36">
        <f>IF(A45="","",IF(C45="Payment Received",I44-IFERROR(G45,0),IF(C45="Monthly Rent Charge",I44+IFERROR(E45,0)+IFERROR(F45,0),I44)))</f>
        <v/>
      </c>
      <c r="J45" s="37" t="n"/>
    </row>
    <row r="46" ht="15" customHeight="1" s="62">
      <c r="A46" s="54">
        <f>IF(B46="","",DATE(YEAR(TODAY()),MATCH(B46,{"January","February","March","April","May","June","July","August","September","October","November","December"},0),1))</f>
        <v/>
      </c>
      <c r="B46" s="33" t="inlineStr">
        <is>
          <t>March</t>
        </is>
      </c>
      <c r="C46" s="34">
        <f>IF(B46="","","Monthly Rent Charge")</f>
        <v/>
      </c>
      <c r="D46" s="34" t="n"/>
      <c r="E46" s="35">
        <f>IF(C46="Monthly Rent Charge",$D$3,"")</f>
        <v/>
      </c>
      <c r="F46" s="35">
        <f>IF(C46="Monthly Rent Charge",$F$3,"")</f>
        <v/>
      </c>
      <c r="G46" s="41" t="n"/>
      <c r="H46" s="34" t="n"/>
      <c r="I46" s="36">
        <f>IF(A46="","",IF(C46="Payment Received",I45-IFERROR(G46,0),IF(C46="Monthly Rent Charge",I45+IFERROR(E46,0)+IFERROR(F46,0),I45)))</f>
        <v/>
      </c>
      <c r="J46" s="37" t="n"/>
    </row>
    <row r="47" ht="15" customHeight="1" s="62">
      <c r="A47" s="54">
        <f>IF(B47="","",DATE(YEAR(TODAY()),MATCH(B47,{"January","February","March","April","May","June","July","August","September","October","November","December"},0),1))</f>
        <v/>
      </c>
      <c r="B47" s="33" t="inlineStr">
        <is>
          <t>April</t>
        </is>
      </c>
      <c r="C47" s="34">
        <f>IF(B47="","","Monthly Rent Charge")</f>
        <v/>
      </c>
      <c r="D47" s="34" t="n"/>
      <c r="E47" s="35">
        <f>IF(C47="Monthly Rent Charge",$D$3,"")</f>
        <v/>
      </c>
      <c r="F47" s="35">
        <f>IF(C47="Monthly Rent Charge",$F$3,"")</f>
        <v/>
      </c>
      <c r="G47" s="41" t="n"/>
      <c r="H47" s="34" t="n"/>
      <c r="I47" s="36">
        <f>IF(A47="","",IF(C47="Payment Received",I46-IFERROR(G47,0),IF(C47="Monthly Rent Charge",I46+IFERROR(E47,0)+IFERROR(F47,0),I46)))</f>
        <v/>
      </c>
      <c r="J47" s="37" t="n"/>
    </row>
    <row r="48" ht="15" customHeight="1" s="62">
      <c r="A48" s="53" t="n">
        <v>46121</v>
      </c>
      <c r="B48" s="33" t="n"/>
      <c r="C48" s="34" t="inlineStr">
        <is>
          <t>Payment Received</t>
        </is>
      </c>
      <c r="D48" s="34" t="n"/>
      <c r="E48" s="35">
        <f>IF(C48="Monthly Rent Charge",$D$3,"")</f>
        <v/>
      </c>
      <c r="F48" s="35">
        <f>IF(C48="Monthly Rent Charge",$F$3,"")</f>
        <v/>
      </c>
      <c r="G48" s="41" t="n">
        <v>3000</v>
      </c>
      <c r="H48" t="inlineStr">
        <is>
          <t>UD9IW0GL80</t>
        </is>
      </c>
      <c r="I48" s="36">
        <f>IF(A48="","",IF(C48="Payment Received",I47-IFERROR(G48,0),IF(C48="Monthly Rent Charge",I47+IFERROR(E48,0)+IFERROR(F48,0),I47)))</f>
        <v/>
      </c>
      <c r="J48" s="37" t="n"/>
    </row>
    <row r="49" ht="15" customHeight="1" s="62">
      <c r="A49" s="54">
        <f>IF(B49="","",DATE(YEAR(TODAY()),MATCH(B49,{"January","February","March","April","May","June","July","August","September","October","November","December"},0),1))</f>
        <v/>
      </c>
      <c r="B49" s="33" t="inlineStr">
        <is>
          <t>May</t>
        </is>
      </c>
      <c r="C49" s="34">
        <f>IF(B49="","","Monthly Rent Charge")</f>
        <v/>
      </c>
      <c r="D49" s="34" t="n"/>
      <c r="E49" s="35">
        <f>IF(C49="Monthly Rent Charge",$D$3,"")</f>
        <v/>
      </c>
      <c r="F49" s="35">
        <f>IF(C49="Monthly Rent Charge",$F$3,"")</f>
        <v/>
      </c>
      <c r="G49" s="41" t="n"/>
      <c r="H49" s="34" t="n"/>
      <c r="I49" s="36">
        <f>IF(A49="","",IF(C49="Payment Received",I48-IFERROR(G49,0),IF(C49="Monthly Rent Charge",I48+IFERROR(E49,0)+IFERROR(F49,0),I48)))</f>
        <v/>
      </c>
      <c r="J49" s="37" t="n"/>
    </row>
    <row r="50" ht="15" customHeight="1" s="62">
      <c r="A50" s="53" t="n">
        <v>46146</v>
      </c>
      <c r="B50" s="33" t="n"/>
      <c r="C50" s="34" t="inlineStr">
        <is>
          <t>Payment Received</t>
        </is>
      </c>
      <c r="D50" s="34" t="n"/>
      <c r="E50" s="35">
        <f>IF(C50="Monthly Rent Charge",$D$3,"")</f>
        <v/>
      </c>
      <c r="F50" s="35">
        <f>IF(C50="Monthly Rent Charge",$F$3,"")</f>
        <v/>
      </c>
      <c r="G50" s="41" t="n">
        <v>24000</v>
      </c>
      <c r="H50" t="inlineStr">
        <is>
          <t>UE4IW3BS4F</t>
        </is>
      </c>
      <c r="I50" s="36">
        <f>IF(A50="","",IF(C50="Payment Received",I49-IFERROR(G50,0),IF(C50="Monthly Rent Charge",I49+IFERROR(E50,0)+IFERROR(F50,0),I49)))</f>
        <v/>
      </c>
      <c r="J50" s="37" t="n"/>
    </row>
    <row r="51" ht="15" customHeight="1" s="62">
      <c r="A51" s="54">
        <f>IF(B51="","",DATE(YEAR(TODAY()),MATCH(B51,{"January","February","March","April","May","June","July","August","September","October","November","December"},0),1))</f>
        <v/>
      </c>
      <c r="B51" s="33" t="inlineStr">
        <is>
          <t>June</t>
        </is>
      </c>
      <c r="C51" s="34">
        <f>IF(B51="","","Monthly Rent Charge")</f>
        <v/>
      </c>
      <c r="D51" s="34" t="n"/>
      <c r="E51" s="35">
        <f>IF(C51="Monthly Rent Charge",$D$3,"")</f>
        <v/>
      </c>
      <c r="F51" s="35">
        <f>IF(C51="Monthly Rent Charge",$F$3,"")</f>
        <v/>
      </c>
      <c r="G51" s="41" t="n"/>
      <c r="H51" s="34" t="n"/>
      <c r="I51" s="36">
        <f>IF(AND(A51="",C51=""),"",IF(C51="Payment Received",I50-IFERROR(G51,0),IF(C51="Monthly Rent Charge",I50+IFERROR(E51,0)+IFERROR(F51,0),I50)))</f>
        <v/>
      </c>
      <c r="J51" s="37" t="n"/>
    </row>
    <row r="52" ht="15" customHeight="1" s="62">
      <c r="A52" s="54" t="n">
        <v>46181</v>
      </c>
      <c r="B52" s="33" t="n"/>
      <c r="C52" s="34" t="inlineStr">
        <is>
          <t>Payment Received</t>
        </is>
      </c>
      <c r="D52" s="34" t="n"/>
      <c r="E52" s="35">
        <f>IF(C52="Monthly Rent Charge",$D$3,"")</f>
        <v/>
      </c>
      <c r="F52" s="35">
        <f>IF(C52="Monthly Rent Charge",$F$3,"")</f>
        <v/>
      </c>
      <c r="G52" s="41" t="n">
        <v>15000</v>
      </c>
      <c r="H52" s="34" t="inlineStr">
        <is>
          <t>UF8IW7DZAX</t>
        </is>
      </c>
      <c r="I52" s="36">
        <f>IF(AND(A52="",C52=""),"",IF(C52="Payment Received",I51-IFERROR(G52,0),IF(C52="Monthly Rent Charge",I51+IFERROR(E52,0)+IFERROR(F52,0),I51)))</f>
        <v/>
      </c>
      <c r="J52" s="37" t="n"/>
    </row>
    <row r="53" ht="15" customHeight="1" s="62">
      <c r="A53" s="54">
        <f>IF(B53="","",DATE(YEAR(TODAY()),MATCH(B53,{"January","February","March","April","May","June","July","August","September","October","November","December"},0),1))</f>
        <v/>
      </c>
      <c r="B53" s="33" t="inlineStr">
        <is>
          <t>July</t>
        </is>
      </c>
      <c r="C53" s="34">
        <f>IF(B53="","","Monthly Rent Charge")</f>
        <v/>
      </c>
      <c r="D53" s="34" t="n"/>
      <c r="E53" s="35">
        <f>IF(C53="Monthly Rent Charge",$D$3,"")</f>
        <v/>
      </c>
      <c r="F53" s="35">
        <f>IF(C53="Monthly Rent Charge",$F$3,"")</f>
        <v/>
      </c>
      <c r="G53" s="41" t="n"/>
      <c r="H53" s="34" t="n"/>
      <c r="I53" s="36">
        <f>IF(AND(A53="",C53=""),"",IF(C53="Payment Received",I52-IFERROR(G53,0),IF(C53="Monthly Rent Charge",I52+IFERROR(E53,0)+IFERROR(F53,0),I52)))</f>
        <v/>
      </c>
      <c r="J53" s="37" t="n"/>
    </row>
    <row r="54" ht="15" customHeight="1" s="62">
      <c r="A54" s="54" t="n">
        <v>46211</v>
      </c>
      <c r="B54" s="33" t="n"/>
      <c r="C54" s="34" t="inlineStr">
        <is>
          <t>Payment Received</t>
        </is>
      </c>
      <c r="D54" s="34" t="n"/>
      <c r="E54" s="35">
        <f>IF(C54="Monthly Rent Charge",$D$3,"")</f>
        <v/>
      </c>
      <c r="F54" s="35">
        <f>IF(C54="Monthly Rent Charge",$F$3,"")</f>
        <v/>
      </c>
      <c r="G54" s="41" t="n">
        <v>4700</v>
      </c>
      <c r="H54" s="34" t="inlineStr">
        <is>
          <t>UG8IWAXDRB</t>
        </is>
      </c>
      <c r="I54" s="36">
        <f>IF(AND(A54="",C54=""),"",IF(C54="Payment Received",I53-IFERROR(G54,0),IF(C54="Monthly Rent Charge",I53+IFERROR(E54,0)+IFERROR(F54,0),I53)))</f>
        <v/>
      </c>
      <c r="J54" s="37" t="n"/>
    </row>
    <row r="55" ht="15" customHeight="1" s="62">
      <c r="A55" s="54">
        <f>IF(B55="","",DATE(YEAR(TODAY()),MATCH(B55,{"January","February","March","April","May","June","July","August","September","October","November","December"},0),1))</f>
        <v/>
      </c>
      <c r="B55" s="33" t="inlineStr">
        <is>
          <t>August</t>
        </is>
      </c>
      <c r="C55" s="34">
        <f>IF(B55="","","Monthly Rent Charge")</f>
        <v/>
      </c>
      <c r="D55" s="34" t="n"/>
      <c r="E55" s="35">
        <f>IF(C55="Monthly Rent Charge",$D$3,"")</f>
        <v/>
      </c>
      <c r="F55" s="35">
        <f>IF(C55="Monthly Rent Charge",$F$3,"")</f>
        <v/>
      </c>
      <c r="G55" s="41" t="n"/>
      <c r="H55" s="34" t="n"/>
      <c r="I55" s="36">
        <f>IF(AND(A55="",C55=""),"",IF(C55="Payment Received",I54-IFERROR(G55,0),IF(C55="Monthly Rent Charge",I54+IFERROR(E55,0)+IFERROR(F55,0),I54)))</f>
        <v/>
      </c>
      <c r="J55" s="37" t="n"/>
    </row>
    <row r="56" ht="15" customHeight="1" s="62">
      <c r="A56" s="54" t="n">
        <v>46253</v>
      </c>
      <c r="B56" s="33" t="n"/>
      <c r="C56" s="34" t="inlineStr">
        <is>
          <t>Payment Received</t>
        </is>
      </c>
      <c r="D56" s="34" t="n"/>
      <c r="E56" s="35">
        <f>IF(C56="Monthly Rent Charge",$D$3,"")</f>
        <v/>
      </c>
      <c r="F56" s="35">
        <f>IF(C56="Monthly Rent Charge",$F$3,"")</f>
        <v/>
      </c>
      <c r="G56" s="41" t="n">
        <v>4700</v>
      </c>
      <c r="H56" s="34" t="inlineStr">
        <is>
          <t>UHJIW3UZ24</t>
        </is>
      </c>
      <c r="I56" s="36">
        <f>IF(AND(A56="",C56=""),"",IF(C56="Payment Received",I55-IFERROR(G56,0),IF(C56="Monthly Rent Charge",I55+IFERROR(E56,0)+IFERROR(F56,0),IFERROR(I55,0))))</f>
        <v/>
      </c>
      <c r="J56" s="37" t="n"/>
    </row>
    <row r="57" ht="15" customHeight="1" s="62">
      <c r="A57" s="54">
        <f>IF(B57="","",DATE(YEAR(TODAY()),MATCH(B57,{"January","February","March","April","May","June","July","August","September","October","November","December"},0),1))</f>
        <v/>
      </c>
      <c r="B57" s="33" t="n"/>
      <c r="C57" s="34">
        <f>IF(B57="","","Monthly Rent Charge")</f>
        <v/>
      </c>
      <c r="D57" s="34" t="n"/>
      <c r="E57" s="35">
        <f>IF(C57="Monthly Rent Charge",$D$3,"")</f>
        <v/>
      </c>
      <c r="F57" s="35">
        <f>IF(C57="Monthly Rent Charge",$F$3,"")</f>
        <v/>
      </c>
      <c r="G57" s="41" t="n"/>
      <c r="H57" s="34" t="n"/>
      <c r="I57" s="36">
        <f>IF(AND(A57="",C57=""),"",IF(C57="Payment Received",I56-IFERROR(G57,0),IF(C57="Monthly Rent Charge",I56+IFERROR(E57,0)+IFERROR(F57,0),IFERROR(I56,0))))</f>
        <v/>
      </c>
      <c r="J57" s="37" t="n"/>
    </row>
    <row r="58" ht="15" customHeight="1" s="62">
      <c r="A58" s="54">
        <f>IF(B58="","",DATE(YEAR(TODAY()),MATCH(B58,{"January","February","March","April","May","June","July","August","September","October","November","December"},0),1))</f>
        <v/>
      </c>
      <c r="B58" s="33" t="n"/>
      <c r="C58" s="34">
        <f>IF(B58="","","Monthly Rent Charge")</f>
        <v/>
      </c>
      <c r="D58" s="34" t="n"/>
      <c r="E58" s="35">
        <f>IF(C58="Monthly Rent Charge",$D$3,"")</f>
        <v/>
      </c>
      <c r="F58" s="35">
        <f>IF(C58="Monthly Rent Charge",$F$3,"")</f>
        <v/>
      </c>
      <c r="G58" s="41" t="n"/>
      <c r="H58" s="34" t="n"/>
      <c r="I58" s="36">
        <f>IF(AND(A58="",C58=""),"",IF(C58="Payment Received",I57-IFERROR(G58,0),IF(C58="Monthly Rent Charge",I57+IFERROR(E58,0)+IFERROR(F58,0),IFERROR(I57,0))))</f>
        <v/>
      </c>
      <c r="J58" s="37" t="n"/>
    </row>
    <row r="59" ht="15" customHeight="1" s="62">
      <c r="A59" s="54">
        <f>IF(B59="","",DATE(YEAR(TODAY()),MATCH(B59,{"January","February","March","April","May","June","July","August","September","October","November","December"},0),1))</f>
        <v/>
      </c>
      <c r="B59" s="33" t="n"/>
      <c r="C59" s="34">
        <f>IF(B59="","","Monthly Rent Charge")</f>
        <v/>
      </c>
      <c r="D59" s="34" t="n"/>
      <c r="E59" s="35">
        <f>IF(C59="Monthly Rent Charge",$D$3,"")</f>
        <v/>
      </c>
      <c r="F59" s="35">
        <f>IF(C59="Monthly Rent Charge",$F$3,"")</f>
        <v/>
      </c>
      <c r="G59" s="41" t="n"/>
      <c r="H59" s="34" t="n"/>
      <c r="I59" s="36">
        <f>IF(AND(A59="",C59=""),"",IF(C59="Payment Received",I58-IFERROR(G59,0),IF(C59="Monthly Rent Charge",I58+IFERROR(E59,0)+IFERROR(F59,0),IFERROR(I58,0))))</f>
        <v/>
      </c>
      <c r="J59" s="37" t="n"/>
    </row>
    <row r="60" ht="15" customHeight="1" s="62">
      <c r="A60" s="54">
        <f>IF(B60="","",DATE(YEAR(TODAY()),MATCH(B60,{"January","February","March","April","May","June","July","August","September","October","November","December"},0),1))</f>
        <v/>
      </c>
      <c r="B60" s="33" t="n"/>
      <c r="C60" s="34">
        <f>IF(B60="","","Monthly Rent Charge")</f>
        <v/>
      </c>
      <c r="D60" s="34" t="n"/>
      <c r="E60" s="35">
        <f>IF(C60="Monthly Rent Charge",$D$3,"")</f>
        <v/>
      </c>
      <c r="F60" s="35">
        <f>IF(C60="Monthly Rent Charge",$F$3,"")</f>
        <v/>
      </c>
      <c r="G60" s="41" t="n"/>
      <c r="H60" s="34" t="n"/>
      <c r="I60" s="36">
        <f>IF(AND(A60="",C60=""),"",IF(C60="Payment Received",I59-IFERROR(G60,0),IF(C60="Monthly Rent Charge",I59+IFERROR(E60,0)+IFERROR(F60,0),IFERROR(I59,0))))</f>
        <v/>
      </c>
      <c r="J60" s="37" t="n"/>
    </row>
    <row r="61" ht="15" customHeight="1" s="62">
      <c r="A61" s="54">
        <f>IF(B61="","",DATE(YEAR(TODAY()),MATCH(B61,{"January","February","March","April","May","June","July","August","September","October","November","December"},0),1))</f>
        <v/>
      </c>
      <c r="B61" s="33" t="n"/>
      <c r="C61" s="34">
        <f>IF(B61="","","Monthly Rent Charge")</f>
        <v/>
      </c>
      <c r="D61" s="34" t="n"/>
      <c r="E61" s="35">
        <f>IF(C61="Monthly Rent Charge",$D$3,"")</f>
        <v/>
      </c>
      <c r="F61" s="35">
        <f>IF(C61="Monthly Rent Charge",$F$3,"")</f>
        <v/>
      </c>
      <c r="G61" s="41" t="n"/>
      <c r="H61" s="34" t="n"/>
      <c r="I61" s="36">
        <f>IF(AND(A61="",C61=""),"",IF(C61="Payment Received",I60-IFERROR(G61,0),IF(C61="Monthly Rent Charge",I60+IFERROR(E61,0)+IFERROR(F61,0),IFERROR(I60,0))))</f>
        <v/>
      </c>
      <c r="J61" s="37" t="n"/>
    </row>
    <row r="62" ht="15" customHeight="1" s="62">
      <c r="A62" s="54">
        <f>IF(B62="","",DATE(YEAR(TODAY()),MATCH(B62,{"January","February","March","April","May","June","July","August","September","October","November","December"},0),1))</f>
        <v/>
      </c>
      <c r="B62" s="33" t="n"/>
      <c r="C62" s="34">
        <f>IF(B62="","","Monthly Rent Charge")</f>
        <v/>
      </c>
      <c r="D62" s="34" t="n"/>
      <c r="E62" s="35">
        <f>IF(C62="Monthly Rent Charge",$D$3,"")</f>
        <v/>
      </c>
      <c r="F62" s="35">
        <f>IF(C62="Monthly Rent Charge",$F$3,"")</f>
        <v/>
      </c>
      <c r="G62" s="41" t="n"/>
      <c r="H62" s="34" t="n"/>
      <c r="I62" s="36">
        <f>IF(AND(A62="",C62=""),"",IF(C62="Payment Received",I61-IFERROR(G62,0),IF(C62="Monthly Rent Charge",I61+IFERROR(E62,0)+IFERROR(F62,0),IFERROR(I61,0))))</f>
        <v/>
      </c>
      <c r="J62" s="37" t="n"/>
    </row>
    <row r="63" ht="15" customHeight="1" s="62">
      <c r="A63" s="54">
        <f>IF(B63="","",DATE(YEAR(TODAY()),MATCH(B63,{"January","February","March","April","May","June","July","August","September","October","November","December"},0),1))</f>
        <v/>
      </c>
      <c r="B63" s="33" t="n"/>
      <c r="C63" s="34">
        <f>IF(B63="","","Monthly Rent Charge")</f>
        <v/>
      </c>
      <c r="D63" s="34" t="n"/>
      <c r="E63" s="35">
        <f>IF(C63="Monthly Rent Charge",$D$3,"")</f>
        <v/>
      </c>
      <c r="F63" s="35">
        <f>IF(C63="Monthly Rent Charge",$F$3,"")</f>
        <v/>
      </c>
      <c r="G63" s="41" t="n"/>
      <c r="H63" s="34" t="n"/>
      <c r="I63" s="36">
        <f>IF(AND(A63="",C63=""),"",IF(C63="Payment Received",I62-IFERROR(G63,0),IF(C63="Monthly Rent Charge",I62+IFERROR(E63,0)+IFERROR(F63,0),IFERROR(I62,0))))</f>
        <v/>
      </c>
      <c r="J63" s="37" t="n"/>
    </row>
    <row r="64" ht="15" customHeight="1" s="62">
      <c r="A64" s="54">
        <f>IF(B64="","",DATE(YEAR(TODAY()),MATCH(B64,{"January","February","March","April","May","June","July","August","September","October","November","December"},0),1))</f>
        <v/>
      </c>
      <c r="B64" s="33" t="n"/>
      <c r="C64" s="34">
        <f>IF(B64="","","Monthly Rent Charge")</f>
        <v/>
      </c>
      <c r="D64" s="34" t="n"/>
      <c r="E64" s="35">
        <f>IF(C64="Monthly Rent Charge",$D$3,"")</f>
        <v/>
      </c>
      <c r="F64" s="35">
        <f>IF(C64="Monthly Rent Charge",$F$3,"")</f>
        <v/>
      </c>
      <c r="G64" s="41" t="n"/>
      <c r="H64" s="34" t="n"/>
      <c r="I64" s="36">
        <f>IF(AND(A64="",C64=""),"",IF(C64="Payment Received",I63-IFERROR(G64,0),IF(C64="Monthly Rent Charge",I63+IFERROR(E64,0)+IFERROR(F64,0),IFERROR(I63,0))))</f>
        <v/>
      </c>
      <c r="J64" s="37" t="n"/>
    </row>
    <row r="65" ht="15" customHeight="1" s="62">
      <c r="A65" s="54">
        <f>IF(B65="","",DATE(YEAR(TODAY()),MATCH(B65,{"January","February","March","April","May","June","July","August","September","October","November","December"},0),1))</f>
        <v/>
      </c>
      <c r="B65" s="33" t="n"/>
      <c r="C65" s="34">
        <f>IF(B65="","","Monthly Rent Charge")</f>
        <v/>
      </c>
      <c r="D65" s="34" t="n"/>
      <c r="E65" s="35">
        <f>IF(C65="Monthly Rent Charge",$D$3,"")</f>
        <v/>
      </c>
      <c r="F65" s="35">
        <f>IF(C65="Monthly Rent Charge",$F$3,"")</f>
        <v/>
      </c>
      <c r="G65" s="41" t="n"/>
      <c r="H65" s="34" t="n"/>
      <c r="I65" s="36">
        <f>IF(AND(A65="",C65=""),"",IF(C65="Payment Received",I64-IFERROR(G65,0),IF(C65="Monthly Rent Charge",I64+IFERROR(E65,0)+IFERROR(F65,0),IFERROR(I64,0))))</f>
        <v/>
      </c>
      <c r="J65" s="37" t="n"/>
    </row>
    <row r="66" ht="15" customHeight="1" s="62">
      <c r="A66" s="54">
        <f>IF(B66="","",DATE(YEAR(TODAY()),MATCH(B66,{"January","February","March","April","May","June","July","August","September","October","November","December"},0),1))</f>
        <v/>
      </c>
      <c r="B66" s="33" t="n"/>
      <c r="C66" s="34">
        <f>IF(B66="","","Monthly Rent Charge")</f>
        <v/>
      </c>
      <c r="D66" s="34" t="n"/>
      <c r="E66" s="35">
        <f>IF(C66="Monthly Rent Charge",$D$3,"")</f>
        <v/>
      </c>
      <c r="F66" s="35">
        <f>IF(C66="Monthly Rent Charge",$F$3,"")</f>
        <v/>
      </c>
      <c r="G66" s="41" t="n"/>
      <c r="H66" s="34" t="n"/>
      <c r="I66" s="36">
        <f>IF(AND(A66="",C66=""),"",IF(C66="Payment Received",I65-IFERROR(G66,0),IF(C66="Monthly Rent Charge",I65+IFERROR(E66,0)+IFERROR(F66,0),IFERROR(I65,0))))</f>
        <v/>
      </c>
      <c r="J66" s="37" t="n"/>
    </row>
    <row r="67" ht="15" customHeight="1" s="62">
      <c r="A67" s="54">
        <f>IF(B67="","",DATE(YEAR(TODAY()),MATCH(B67,{"January","February","March","April","May","June","July","August","September","October","November","December"},0),1))</f>
        <v/>
      </c>
      <c r="B67" s="33" t="n"/>
      <c r="C67" s="34">
        <f>IF(B67="","","Monthly Rent Charge")</f>
        <v/>
      </c>
      <c r="D67" s="34" t="n"/>
      <c r="E67" s="35">
        <f>IF(C67="Monthly Rent Charge",$D$3,"")</f>
        <v/>
      </c>
      <c r="F67" s="35">
        <f>IF(C67="Monthly Rent Charge",$F$3,"")</f>
        <v/>
      </c>
      <c r="G67" s="41" t="n"/>
      <c r="H67" s="34" t="n"/>
      <c r="I67" s="36">
        <f>IF(AND(A67="",C67=""),"",IF(C67="Payment Received",I66-IFERROR(G67,0),IF(C67="Monthly Rent Charge",I66+IFERROR(E67,0)+IFERROR(F67,0),IFERROR(I66,0))))</f>
        <v/>
      </c>
      <c r="J67" s="37" t="n"/>
    </row>
    <row r="68" ht="15" customHeight="1" s="62">
      <c r="A68" s="54">
        <f>IF(B68="","",DATE(YEAR(TODAY()),MATCH(B68,{"January","February","March","April","May","June","July","August","September","October","November","December"},0),1))</f>
        <v/>
      </c>
      <c r="B68" s="33" t="n"/>
      <c r="C68" s="34">
        <f>IF(B68="","","Monthly Rent Charge")</f>
        <v/>
      </c>
      <c r="D68" s="34" t="n"/>
      <c r="E68" s="35">
        <f>IF(C68="Monthly Rent Charge",$D$3,"")</f>
        <v/>
      </c>
      <c r="F68" s="35">
        <f>IF(C68="Monthly Rent Charge",$F$3,"")</f>
        <v/>
      </c>
      <c r="G68" s="41" t="n"/>
      <c r="H68" s="34" t="n"/>
      <c r="I68" s="36">
        <f>IF(AND(A68="",C68=""),"",IF(C68="Payment Received",I67-IFERROR(G68,0),IF(C68="Monthly Rent Charge",I67+IFERROR(E68,0)+IFERROR(F68,0),IFERROR(I67,0))))</f>
        <v/>
      </c>
      <c r="J68" s="37" t="n"/>
    </row>
    <row r="69" ht="15" customHeight="1" s="62">
      <c r="A69" s="54">
        <f>IF(B69="","",DATE(YEAR(TODAY()),MATCH(B69,{"January","February","March","April","May","June","July","August","September","October","November","December"},0),1))</f>
        <v/>
      </c>
      <c r="B69" s="33" t="n"/>
      <c r="C69" s="34">
        <f>IF(B69="","","Monthly Rent Charge")</f>
        <v/>
      </c>
      <c r="D69" s="34" t="n"/>
      <c r="E69" s="35">
        <f>IF(C69="Monthly Rent Charge",$D$3,"")</f>
        <v/>
      </c>
      <c r="F69" s="35">
        <f>IF(C69="Monthly Rent Charge",$F$3,"")</f>
        <v/>
      </c>
      <c r="G69" s="41" t="n"/>
      <c r="H69" s="34" t="n"/>
      <c r="I69" s="36">
        <f>IF(AND(A69="",C69=""),"",IF(C69="Payment Received",I68-IFERROR(G69,0),IF(C69="Monthly Rent Charge",I68+IFERROR(E69,0)+IFERROR(F69,0),IFERROR(I68,0))))</f>
        <v/>
      </c>
      <c r="J69" s="37" t="n"/>
    </row>
    <row r="70" ht="15" customHeight="1" s="62">
      <c r="A70" s="54">
        <f>IF(B70="","",DATE(YEAR(TODAY()),MATCH(B70,{"January","February","March","April","May","June","July","August","September","October","November","December"},0),1))</f>
        <v/>
      </c>
      <c r="B70" s="33" t="n"/>
      <c r="C70" s="34">
        <f>IF(B70="","","Monthly Rent Charge")</f>
        <v/>
      </c>
      <c r="D70" s="34" t="n"/>
      <c r="E70" s="35">
        <f>IF(C70="Monthly Rent Charge",$D$3,"")</f>
        <v/>
      </c>
      <c r="F70" s="35">
        <f>IF(C70="Monthly Rent Charge",$F$3,"")</f>
        <v/>
      </c>
      <c r="G70" s="41" t="n"/>
      <c r="H70" s="34" t="n"/>
      <c r="I70" s="36">
        <f>IF(AND(A70="",C70=""),"",IF(C70="Payment Received",I69-IFERROR(G70,0),IF(C70="Monthly Rent Charge",I69+IFERROR(E70,0)+IFERROR(F70,0),IFERROR(I69,0))))</f>
        <v/>
      </c>
      <c r="J70" s="37" t="n"/>
    </row>
    <row r="71" ht="15" customHeight="1" s="62">
      <c r="A71" s="54" t="n"/>
      <c r="B71" s="33" t="n"/>
      <c r="C71" s="34" t="n"/>
      <c r="D71" s="34" t="n"/>
      <c r="E71" s="35" t="n"/>
      <c r="F71" s="35" t="n"/>
      <c r="G71" s="41" t="n"/>
      <c r="H71" s="34" t="n"/>
      <c r="I71" s="36" t="n"/>
      <c r="J71" s="37" t="n"/>
    </row>
    <row r="72" ht="15" customHeight="1" s="62">
      <c r="A72" s="54" t="n"/>
      <c r="B72" s="33" t="n"/>
      <c r="C72" s="34" t="n"/>
      <c r="D72" s="34" t="n"/>
      <c r="E72" s="35" t="n"/>
      <c r="F72" s="35" t="n"/>
      <c r="G72" s="41" t="n"/>
      <c r="H72" s="34" t="n"/>
      <c r="I72" s="36" t="n"/>
      <c r="J72" s="37" t="n"/>
    </row>
    <row r="73" ht="15" customHeight="1" s="62">
      <c r="A73" s="54" t="n"/>
      <c r="B73" s="33" t="n"/>
      <c r="C73" s="34" t="n"/>
      <c r="D73" s="34" t="n"/>
      <c r="E73" s="35" t="n"/>
      <c r="F73" s="35" t="n"/>
      <c r="G73" s="41" t="n"/>
      <c r="H73" s="34" t="n"/>
      <c r="I73" s="36" t="n"/>
      <c r="J73" s="37" t="n"/>
    </row>
    <row r="74" ht="15" customHeight="1" s="62">
      <c r="A74" s="54" t="n"/>
      <c r="B74" s="33" t="n"/>
      <c r="C74" s="34" t="n"/>
      <c r="D74" s="34" t="n"/>
      <c r="E74" s="35" t="n"/>
      <c r="F74" s="35" t="n"/>
      <c r="G74" s="41" t="n"/>
      <c r="H74" s="34" t="n"/>
      <c r="I74" s="36" t="n"/>
      <c r="J74" s="37" t="n"/>
    </row>
    <row r="75" ht="15" customHeight="1" s="62">
      <c r="A75" s="54" t="n"/>
      <c r="B75" s="33" t="n"/>
      <c r="C75" s="34" t="n"/>
      <c r="D75" s="34" t="n"/>
      <c r="E75" s="35" t="n"/>
      <c r="F75" s="35" t="n"/>
      <c r="G75" s="41" t="n"/>
      <c r="H75" s="34" t="n"/>
      <c r="I75" s="36" t="n"/>
      <c r="J75" s="37" t="n"/>
    </row>
    <row r="76" ht="15" customHeight="1" s="62">
      <c r="A76" s="54" t="n"/>
      <c r="B76" s="33" t="n"/>
      <c r="C76" s="34" t="n"/>
      <c r="D76" s="34" t="n"/>
      <c r="E76" s="35" t="n"/>
      <c r="F76" s="35" t="n"/>
      <c r="G76" s="41" t="n"/>
      <c r="H76" s="34" t="n"/>
      <c r="I76" s="36" t="n"/>
      <c r="J76" s="37" t="n"/>
    </row>
    <row r="77" ht="15" customHeight="1" s="62">
      <c r="A77" s="54" t="n"/>
      <c r="B77" s="33" t="n"/>
      <c r="C77" s="34" t="n"/>
      <c r="D77" s="34" t="n"/>
      <c r="E77" s="35" t="n"/>
      <c r="F77" s="35" t="n"/>
      <c r="G77" s="41" t="n"/>
      <c r="H77" s="34" t="n"/>
      <c r="I77" s="36" t="n"/>
      <c r="J77" s="37" t="n"/>
    </row>
    <row r="78" ht="15" customHeight="1" s="62">
      <c r="A78" s="54" t="n"/>
      <c r="B78" s="33" t="n"/>
      <c r="C78" s="34" t="n"/>
      <c r="D78" s="34" t="n"/>
      <c r="E78" s="35" t="n"/>
      <c r="F78" s="35" t="n"/>
      <c r="G78" s="41" t="n"/>
      <c r="H78" s="34" t="n"/>
      <c r="I78" s="36" t="n"/>
      <c r="J78" s="37" t="n"/>
    </row>
    <row r="79" ht="15" customHeight="1" s="62">
      <c r="A79" s="54" t="n"/>
      <c r="B79" s="33" t="n"/>
      <c r="C79" s="34" t="n"/>
      <c r="D79" s="34" t="n"/>
      <c r="E79" s="35" t="n"/>
      <c r="F79" s="35" t="n"/>
      <c r="G79" s="41" t="n"/>
      <c r="H79" s="34" t="n"/>
      <c r="I79" s="36" t="n"/>
      <c r="J79" s="37" t="n"/>
    </row>
    <row r="80" ht="15" customHeight="1" s="62">
      <c r="A80" s="54" t="n"/>
      <c r="B80" s="33" t="n"/>
      <c r="C80" s="34" t="n"/>
      <c r="D80" s="34" t="n"/>
      <c r="E80" s="35" t="n"/>
      <c r="F80" s="35" t="n"/>
      <c r="G80" s="41" t="n"/>
      <c r="H80" s="34" t="n"/>
      <c r="I80" s="36" t="n"/>
      <c r="J80" s="37" t="n"/>
    </row>
    <row r="81" ht="15" customHeight="1" s="62">
      <c r="A81" s="54" t="n"/>
      <c r="B81" s="33" t="n"/>
      <c r="C81" s="34" t="n"/>
      <c r="D81" s="34" t="n"/>
      <c r="E81" s="35" t="n"/>
      <c r="F81" s="35" t="n"/>
      <c r="G81" s="41" t="n"/>
      <c r="H81" s="34" t="n"/>
      <c r="I81" s="36" t="n"/>
      <c r="J81" s="37" t="n"/>
    </row>
    <row r="82" ht="15" customHeight="1" s="62">
      <c r="A82" s="54" t="n"/>
      <c r="B82" s="33" t="n"/>
      <c r="C82" s="34" t="n"/>
      <c r="D82" s="34" t="n"/>
      <c r="E82" s="35" t="n"/>
      <c r="F82" s="35" t="n"/>
      <c r="G82" s="41" t="n"/>
      <c r="H82" s="34" t="n"/>
      <c r="I82" s="36" t="n"/>
      <c r="J82" s="37" t="n"/>
    </row>
    <row r="83" ht="15" customHeight="1" s="62">
      <c r="A83" s="54" t="n"/>
      <c r="B83" s="33" t="n"/>
      <c r="C83" s="34" t="n"/>
      <c r="D83" s="34" t="n"/>
      <c r="E83" s="35" t="n"/>
      <c r="F83" s="35" t="n"/>
      <c r="G83" s="41" t="n"/>
      <c r="H83" s="34" t="n"/>
      <c r="I83" s="36" t="n"/>
      <c r="J83" s="37" t="n"/>
    </row>
    <row r="84" ht="15" customHeight="1" s="62">
      <c r="A84" s="54" t="n"/>
      <c r="B84" s="33" t="n"/>
      <c r="C84" s="34" t="n"/>
      <c r="D84" s="34" t="n"/>
      <c r="E84" s="35" t="n"/>
      <c r="F84" s="35" t="n"/>
      <c r="G84" s="41" t="n"/>
      <c r="H84" s="34" t="n"/>
      <c r="I84" s="36" t="n"/>
      <c r="J84" s="37" t="n"/>
    </row>
    <row r="85" ht="15" customHeight="1" s="62">
      <c r="A85" s="54" t="n"/>
      <c r="B85" s="33" t="n"/>
      <c r="C85" s="34" t="n"/>
      <c r="D85" s="34" t="n"/>
      <c r="E85" s="35" t="n"/>
      <c r="F85" s="35" t="n"/>
      <c r="G85" s="41" t="n"/>
      <c r="H85" s="34" t="n"/>
      <c r="I85" s="36" t="n"/>
      <c r="J85" s="37" t="n"/>
    </row>
    <row r="86" ht="15" customHeight="1" s="62">
      <c r="A86" s="54" t="n"/>
      <c r="B86" s="33" t="n"/>
      <c r="C86" s="34" t="n"/>
      <c r="D86" s="34" t="n"/>
      <c r="E86" s="35" t="n"/>
      <c r="F86" s="35" t="n"/>
      <c r="G86" s="41" t="n"/>
      <c r="H86" s="34" t="n"/>
      <c r="I86" s="36" t="n"/>
      <c r="J86" s="37" t="n"/>
    </row>
    <row r="87" ht="15" customHeight="1" s="62">
      <c r="A87" s="54" t="n"/>
      <c r="B87" s="33" t="n"/>
      <c r="C87" s="34" t="n"/>
      <c r="D87" s="34" t="n"/>
      <c r="E87" s="35" t="n"/>
      <c r="F87" s="35" t="n"/>
      <c r="G87" s="41" t="n"/>
      <c r="H87" s="34" t="n"/>
      <c r="I87" s="36" t="n"/>
      <c r="J87" s="37" t="n"/>
    </row>
    <row r="88" ht="15" customHeight="1" s="62">
      <c r="A88" s="54" t="n"/>
      <c r="B88" s="33" t="n"/>
      <c r="C88" s="34" t="n"/>
      <c r="D88" s="34" t="n"/>
      <c r="E88" s="35" t="n"/>
      <c r="F88" s="35" t="n"/>
      <c r="G88" s="41" t="n"/>
      <c r="H88" s="34" t="n"/>
      <c r="I88" s="36" t="n"/>
      <c r="J88" s="37" t="n"/>
    </row>
    <row r="89" ht="15" customHeight="1" s="62">
      <c r="A89" s="54" t="n"/>
      <c r="B89" s="33" t="n"/>
      <c r="C89" s="34" t="n"/>
      <c r="D89" s="34" t="n"/>
      <c r="E89" s="35" t="n"/>
      <c r="F89" s="35" t="n"/>
      <c r="G89" s="41" t="n"/>
      <c r="H89" s="34" t="n"/>
      <c r="I89" s="36" t="n"/>
      <c r="J89" s="37" t="n"/>
    </row>
    <row r="90" ht="15" customHeight="1" s="62">
      <c r="A90" s="54" t="n"/>
      <c r="B90" s="33" t="n"/>
      <c r="C90" s="34" t="n"/>
      <c r="D90" s="34" t="n"/>
      <c r="E90" s="35" t="n"/>
      <c r="F90" s="35" t="n"/>
      <c r="G90" s="41" t="n"/>
      <c r="H90" s="34" t="n"/>
      <c r="I90" s="36" t="n"/>
      <c r="J90" s="37" t="n"/>
    </row>
    <row r="91" ht="15" customHeight="1" s="62">
      <c r="A91" s="54" t="n"/>
      <c r="B91" s="33" t="n"/>
      <c r="C91" s="34" t="n"/>
      <c r="D91" s="34" t="n"/>
      <c r="E91" s="35" t="n"/>
      <c r="F91" s="35" t="n"/>
      <c r="G91" s="41" t="n"/>
      <c r="H91" s="34" t="n"/>
      <c r="I91" s="36" t="n"/>
      <c r="J91" s="37" t="n"/>
    </row>
    <row r="92" ht="15" customHeight="1" s="62">
      <c r="A92" s="54" t="n"/>
      <c r="B92" s="33" t="n"/>
      <c r="C92" s="34" t="n"/>
      <c r="D92" s="34" t="n"/>
      <c r="E92" s="35" t="n"/>
      <c r="F92" s="35" t="n"/>
      <c r="G92" s="41" t="n"/>
      <c r="H92" s="34" t="n"/>
      <c r="I92" s="36" t="n"/>
      <c r="J92" s="37" t="n"/>
    </row>
    <row r="93" ht="15" customHeight="1" s="62">
      <c r="A93" s="54" t="n"/>
      <c r="B93" s="33" t="n"/>
      <c r="C93" s="34" t="n"/>
      <c r="D93" s="34" t="n"/>
      <c r="E93" s="35" t="n"/>
      <c r="F93" s="35" t="n"/>
      <c r="G93" s="41" t="n"/>
      <c r="H93" s="34" t="n"/>
      <c r="I93" s="36" t="n"/>
      <c r="J93" s="37" t="n"/>
    </row>
    <row r="94" ht="15" customHeight="1" s="62">
      <c r="A94" s="54" t="n"/>
      <c r="B94" s="33" t="n"/>
      <c r="C94" s="34" t="n"/>
      <c r="D94" s="34" t="n"/>
      <c r="E94" s="35" t="n"/>
      <c r="F94" s="35" t="n"/>
      <c r="G94" s="41" t="n"/>
      <c r="H94" s="34" t="n"/>
      <c r="I94" s="36" t="n"/>
      <c r="J94" s="37" t="n"/>
    </row>
    <row r="95" ht="15" customHeight="1" s="62">
      <c r="A95" s="54" t="n"/>
      <c r="B95" s="33" t="n"/>
      <c r="C95" s="34" t="n"/>
      <c r="D95" s="34" t="n"/>
      <c r="E95" s="35" t="n"/>
      <c r="F95" s="35" t="n"/>
      <c r="G95" s="41" t="n"/>
      <c r="H95" s="34" t="n"/>
      <c r="I95" s="36" t="n"/>
      <c r="J95" s="37" t="n"/>
    </row>
    <row r="96" ht="15" customHeight="1" s="62">
      <c r="A96" s="54" t="n"/>
      <c r="B96" s="33" t="n"/>
      <c r="C96" s="34" t="n"/>
      <c r="D96" s="34" t="n"/>
      <c r="E96" s="35" t="n"/>
      <c r="F96" s="35" t="n"/>
      <c r="G96" s="41" t="n"/>
      <c r="H96" s="34" t="n"/>
      <c r="I96" s="36" t="n"/>
      <c r="J96" s="37" t="n"/>
    </row>
    <row r="97" ht="15" customHeight="1" s="62">
      <c r="A97" s="54" t="n"/>
      <c r="B97" s="33" t="n"/>
      <c r="C97" s="34" t="n"/>
      <c r="D97" s="34" t="n"/>
      <c r="E97" s="35" t="n"/>
      <c r="F97" s="35" t="n"/>
      <c r="G97" s="41" t="n"/>
      <c r="H97" s="34" t="n"/>
      <c r="I97" s="36" t="n"/>
      <c r="J97" s="37" t="n"/>
    </row>
    <row r="98" ht="15" customHeight="1" s="62">
      <c r="A98" s="54" t="n"/>
      <c r="B98" s="33" t="n"/>
      <c r="C98" s="34" t="n"/>
      <c r="D98" s="34" t="n"/>
      <c r="E98" s="35" t="n"/>
      <c r="F98" s="35" t="n"/>
      <c r="G98" s="41" t="n"/>
      <c r="H98" s="34" t="n"/>
      <c r="I98" s="36" t="n"/>
      <c r="J98" s="37" t="n"/>
    </row>
    <row r="99" ht="15" customHeight="1" s="62">
      <c r="A99" s="54" t="n"/>
      <c r="B99" s="33" t="n"/>
      <c r="C99" s="34" t="n"/>
      <c r="D99" s="34" t="n"/>
      <c r="E99" s="35" t="n"/>
      <c r="F99" s="35" t="n"/>
      <c r="G99" s="41" t="n"/>
      <c r="H99" s="34" t="n"/>
      <c r="I99" s="36" t="n"/>
      <c r="J99" s="37" t="n"/>
    </row>
    <row r="100" ht="15" customHeight="1" s="62">
      <c r="A100" s="54" t="n"/>
      <c r="B100" s="33" t="n"/>
      <c r="C100" s="34" t="n"/>
      <c r="D100" s="34" t="n"/>
      <c r="E100" s="35" t="n"/>
      <c r="F100" s="35" t="n"/>
      <c r="G100" s="41" t="n"/>
      <c r="H100" s="34" t="n"/>
      <c r="I100" s="36" t="n"/>
      <c r="J100" s="37" t="n"/>
    </row>
    <row r="101" ht="15" customHeight="1" s="62">
      <c r="A101" s="54" t="n"/>
      <c r="B101" s="33" t="n"/>
      <c r="C101" s="34" t="n"/>
      <c r="D101" s="34" t="n"/>
      <c r="E101" s="35" t="n"/>
      <c r="F101" s="35" t="n"/>
      <c r="G101" s="41" t="n"/>
      <c r="H101" s="34" t="n"/>
      <c r="I101" s="36" t="n"/>
      <c r="J101" s="37" t="n"/>
    </row>
    <row r="102" ht="15" customHeight="1" s="62">
      <c r="A102" s="54" t="n"/>
      <c r="B102" s="33" t="n"/>
      <c r="C102" s="34" t="n"/>
      <c r="D102" s="34" t="n"/>
      <c r="E102" s="35" t="n"/>
      <c r="F102" s="35" t="n"/>
      <c r="G102" s="41" t="n"/>
      <c r="H102" s="34" t="n"/>
      <c r="I102" s="36" t="n"/>
      <c r="J102" s="37" t="n"/>
    </row>
    <row r="103" ht="15" customHeight="1" s="62">
      <c r="A103" s="54" t="n"/>
      <c r="B103" s="33" t="n"/>
      <c r="C103" s="34" t="n"/>
      <c r="D103" s="34" t="n"/>
      <c r="E103" s="35" t="n"/>
      <c r="F103" s="35" t="n"/>
      <c r="G103" s="41" t="n"/>
      <c r="H103" s="34" t="n"/>
      <c r="I103" s="36" t="n"/>
      <c r="J103" s="37" t="n"/>
    </row>
    <row r="104" ht="15" customHeight="1" s="62">
      <c r="A104" s="54" t="n"/>
      <c r="B104" s="33" t="n"/>
      <c r="C104" s="34" t="n"/>
      <c r="D104" s="34" t="n"/>
      <c r="E104" s="35" t="n"/>
      <c r="F104" s="35" t="n"/>
      <c r="G104" s="41" t="n"/>
      <c r="H104" s="34" t="n"/>
      <c r="I104" s="36" t="n"/>
      <c r="J104" s="37" t="n"/>
    </row>
    <row r="105" ht="15" customHeight="1" s="62">
      <c r="A105" s="54" t="n"/>
      <c r="B105" s="33" t="n"/>
      <c r="C105" s="34" t="n"/>
      <c r="D105" s="34" t="n"/>
      <c r="E105" s="35" t="n"/>
      <c r="F105" s="35" t="n"/>
      <c r="G105" s="41" t="n"/>
      <c r="H105" s="34" t="n"/>
      <c r="I105" s="36" t="n"/>
      <c r="J105" s="37" t="n"/>
    </row>
    <row r="106" ht="15" customHeight="1" s="62">
      <c r="A106" s="54" t="n"/>
      <c r="B106" s="33" t="n"/>
      <c r="C106" s="34" t="n"/>
      <c r="D106" s="34" t="n"/>
      <c r="E106" s="35" t="n"/>
      <c r="F106" s="35" t="n"/>
      <c r="G106" s="41" t="n"/>
      <c r="H106" s="34" t="n"/>
      <c r="I106" s="36" t="n"/>
      <c r="J106" s="37" t="n"/>
    </row>
    <row r="107" ht="15" customHeight="1" s="62">
      <c r="A107" s="54" t="n"/>
      <c r="B107" s="33" t="n"/>
      <c r="C107" s="34" t="n"/>
      <c r="D107" s="34" t="n"/>
      <c r="E107" s="35" t="n"/>
      <c r="F107" s="35" t="n"/>
      <c r="G107" s="41" t="n"/>
      <c r="H107" s="34" t="n"/>
      <c r="I107" s="36" t="n"/>
      <c r="J107" s="37" t="n"/>
    </row>
    <row r="108" ht="15" customHeight="1" s="62">
      <c r="A108" s="54" t="n"/>
      <c r="B108" s="33" t="n"/>
      <c r="C108" s="34" t="n"/>
      <c r="D108" s="34" t="n"/>
      <c r="E108" s="35" t="n"/>
      <c r="F108" s="35" t="n"/>
      <c r="G108" s="41" t="n"/>
      <c r="H108" s="34" t="n"/>
      <c r="I108" s="36" t="n"/>
      <c r="J108" s="37" t="n"/>
    </row>
    <row r="109" ht="15" customHeight="1" s="62">
      <c r="A109" s="54" t="n"/>
      <c r="B109" s="33" t="n"/>
      <c r="C109" s="34" t="n"/>
      <c r="D109" s="34" t="n"/>
      <c r="E109" s="35" t="n"/>
      <c r="F109" s="35" t="n"/>
      <c r="G109" s="41" t="n"/>
      <c r="H109" s="34" t="n"/>
      <c r="I109" s="36" t="n"/>
      <c r="J109" s="37" t="n"/>
    </row>
    <row r="110" ht="15" customHeight="1" s="62">
      <c r="A110" s="54" t="n"/>
      <c r="B110" s="33" t="n"/>
      <c r="C110" s="34" t="n"/>
      <c r="D110" s="34" t="n"/>
      <c r="E110" s="35" t="n"/>
      <c r="F110" s="35" t="n"/>
      <c r="G110" s="41" t="n"/>
      <c r="H110" s="34" t="n"/>
      <c r="I110" s="36" t="n"/>
      <c r="J110" s="37" t="n"/>
    </row>
    <row r="111" ht="15" customHeight="1" s="62">
      <c r="A111" s="54" t="n"/>
      <c r="B111" s="33" t="n"/>
      <c r="C111" s="34" t="n"/>
      <c r="D111" s="34" t="n"/>
      <c r="E111" s="35" t="n"/>
      <c r="F111" s="35" t="n"/>
      <c r="G111" s="41" t="n"/>
      <c r="H111" s="34" t="n"/>
      <c r="I111" s="36" t="n"/>
      <c r="J111" s="37" t="n"/>
    </row>
    <row r="112" ht="15" customHeight="1" s="62">
      <c r="A112" s="54" t="n"/>
      <c r="B112" s="33" t="n"/>
      <c r="C112" s="34" t="n"/>
      <c r="D112" s="34" t="n"/>
      <c r="E112" s="35" t="n"/>
      <c r="F112" s="35" t="n"/>
      <c r="G112" s="41" t="n"/>
      <c r="H112" s="34" t="n"/>
      <c r="I112" s="36" t="n"/>
      <c r="J112" s="37" t="n"/>
    </row>
    <row r="113" ht="15" customHeight="1" s="62">
      <c r="A113" s="54" t="n"/>
      <c r="B113" s="33" t="n"/>
      <c r="C113" s="34" t="n"/>
      <c r="D113" s="34" t="n"/>
      <c r="E113" s="35" t="n"/>
      <c r="F113" s="35" t="n"/>
      <c r="G113" s="41" t="n"/>
      <c r="H113" s="34" t="n"/>
      <c r="I113" s="36" t="n"/>
      <c r="J113" s="37" t="n"/>
    </row>
    <row r="114" ht="15" customHeight="1" s="62">
      <c r="A114" s="54" t="n"/>
      <c r="B114" s="33" t="n"/>
      <c r="C114" s="34" t="n"/>
      <c r="D114" s="34" t="n"/>
      <c r="E114" s="35" t="n"/>
      <c r="F114" s="35" t="n"/>
      <c r="G114" s="41" t="n"/>
      <c r="H114" s="34" t="n"/>
      <c r="I114" s="36" t="n"/>
      <c r="J114" s="37" t="n"/>
    </row>
    <row r="115" ht="15" customHeight="1" s="62">
      <c r="A115" s="54" t="n"/>
      <c r="B115" s="33" t="n"/>
      <c r="C115" s="34" t="n"/>
      <c r="D115" s="34" t="n"/>
      <c r="E115" s="35" t="n"/>
      <c r="F115" s="35" t="n"/>
      <c r="G115" s="41" t="n"/>
      <c r="H115" s="34" t="n"/>
      <c r="I115" s="36" t="n"/>
      <c r="J115" s="37" t="n"/>
    </row>
    <row r="116" ht="15" customHeight="1" s="62">
      <c r="A116" s="54" t="n"/>
      <c r="B116" s="33" t="n"/>
      <c r="C116" s="34" t="n"/>
      <c r="D116" s="34" t="n"/>
      <c r="E116" s="35" t="n"/>
      <c r="F116" s="35" t="n"/>
      <c r="G116" s="41" t="n"/>
      <c r="H116" s="34" t="n"/>
      <c r="I116" s="36" t="n"/>
      <c r="J116" s="37" t="n"/>
    </row>
    <row r="117" ht="15" customHeight="1" s="62">
      <c r="A117" s="54" t="n"/>
      <c r="B117" s="33" t="n"/>
      <c r="C117" s="34" t="n"/>
      <c r="D117" s="34" t="n"/>
      <c r="E117" s="35" t="n"/>
      <c r="F117" s="35" t="n"/>
      <c r="G117" s="41" t="n"/>
      <c r="H117" s="34" t="n"/>
      <c r="I117" s="36" t="n"/>
      <c r="J117" s="37" t="n"/>
    </row>
    <row r="118" ht="15" customHeight="1" s="62">
      <c r="A118" s="54" t="n"/>
      <c r="B118" s="33" t="n"/>
      <c r="C118" s="34" t="n"/>
      <c r="D118" s="34" t="n"/>
      <c r="E118" s="35" t="n"/>
      <c r="F118" s="35" t="n"/>
      <c r="G118" s="41" t="n"/>
      <c r="H118" s="34" t="n"/>
      <c r="I118" s="36" t="n"/>
      <c r="J118" s="37" t="n"/>
    </row>
    <row r="119" ht="15" customHeight="1" s="62">
      <c r="A119" s="54" t="n"/>
      <c r="B119" s="33" t="n"/>
      <c r="C119" s="34" t="n"/>
      <c r="D119" s="34" t="n"/>
      <c r="E119" s="35" t="n"/>
      <c r="F119" s="35" t="n"/>
      <c r="G119" s="41" t="n"/>
      <c r="H119" s="34" t="n"/>
      <c r="I119" s="36" t="n"/>
      <c r="J119" s="37" t="n"/>
    </row>
    <row r="120" ht="15" customHeight="1" s="62">
      <c r="A120" s="54" t="n"/>
      <c r="B120" s="33" t="n"/>
      <c r="C120" s="34" t="n"/>
      <c r="D120" s="34" t="n"/>
      <c r="E120" s="35" t="n"/>
      <c r="F120" s="35" t="n"/>
      <c r="G120" s="41" t="n"/>
      <c r="H120" s="34" t="n"/>
      <c r="I120" s="36" t="n"/>
      <c r="J120" s="37" t="n"/>
    </row>
    <row r="121" ht="15" customHeight="1" s="62">
      <c r="A121" s="54" t="n"/>
      <c r="B121" s="33" t="n"/>
      <c r="C121" s="34" t="n"/>
      <c r="D121" s="34" t="n"/>
      <c r="E121" s="35" t="n"/>
      <c r="F121" s="35" t="n"/>
      <c r="G121" s="41" t="n"/>
      <c r="H121" s="34" t="n"/>
      <c r="I121" s="36" t="n"/>
      <c r="J121" s="37" t="n"/>
    </row>
    <row r="122" ht="15" customHeight="1" s="62">
      <c r="A122" s="54" t="n"/>
      <c r="B122" s="33" t="n"/>
      <c r="C122" s="34" t="n"/>
      <c r="D122" s="34" t="n"/>
      <c r="E122" s="35" t="n"/>
      <c r="F122" s="35" t="n"/>
      <c r="G122" s="41" t="n"/>
      <c r="H122" s="34" t="n"/>
      <c r="I122" s="36" t="n"/>
      <c r="J122" s="37" t="n"/>
    </row>
    <row r="123" ht="15" customHeight="1" s="62">
      <c r="A123" s="54" t="n"/>
      <c r="B123" s="33" t="n"/>
      <c r="C123" s="34" t="n"/>
      <c r="D123" s="34" t="n"/>
      <c r="E123" s="35" t="n"/>
      <c r="F123" s="35" t="n"/>
      <c r="G123" s="41" t="n"/>
      <c r="H123" s="34" t="n"/>
      <c r="I123" s="36" t="n"/>
      <c r="J123" s="37" t="n"/>
    </row>
    <row r="124" ht="15" customHeight="1" s="62">
      <c r="A124" s="54" t="n"/>
      <c r="B124" s="33" t="n"/>
      <c r="C124" s="34" t="n"/>
      <c r="D124" s="34" t="n"/>
      <c r="E124" s="35" t="n"/>
      <c r="F124" s="35" t="n"/>
      <c r="G124" s="41" t="n"/>
      <c r="H124" s="34" t="n"/>
      <c r="I124" s="36" t="n"/>
      <c r="J124" s="37" t="n"/>
    </row>
    <row r="125" ht="15" customHeight="1" s="62">
      <c r="A125" s="54" t="n"/>
      <c r="B125" s="33" t="n"/>
      <c r="C125" s="34" t="n"/>
      <c r="D125" s="34" t="n"/>
      <c r="E125" s="35" t="n"/>
      <c r="F125" s="35" t="n"/>
      <c r="G125" s="41" t="n"/>
      <c r="H125" s="34" t="n"/>
      <c r="I125" s="36" t="n"/>
      <c r="J125" s="37" t="n"/>
    </row>
    <row r="126" ht="15" customHeight="1" s="62">
      <c r="A126" s="54" t="n"/>
      <c r="B126" s="33" t="n"/>
      <c r="C126" s="34" t="n"/>
      <c r="D126" s="34" t="n"/>
      <c r="E126" s="35" t="n"/>
      <c r="F126" s="35" t="n"/>
      <c r="G126" s="41" t="n"/>
      <c r="H126" s="34" t="n"/>
      <c r="I126" s="36" t="n"/>
      <c r="J126" s="37" t="n"/>
    </row>
    <row r="127" ht="15" customHeight="1" s="62">
      <c r="A127" s="54" t="n"/>
      <c r="B127" s="33" t="n"/>
      <c r="C127" s="34" t="n"/>
      <c r="D127" s="34" t="n"/>
      <c r="E127" s="35" t="n"/>
      <c r="F127" s="35" t="n"/>
      <c r="G127" s="41" t="n"/>
      <c r="H127" s="34" t="n"/>
      <c r="I127" s="36" t="n"/>
      <c r="J127" s="37" t="n"/>
    </row>
    <row r="128" ht="15" customHeight="1" s="62">
      <c r="A128" s="54" t="n"/>
      <c r="B128" s="33" t="n"/>
      <c r="C128" s="34" t="n"/>
      <c r="D128" s="34" t="n"/>
      <c r="E128" s="35" t="n"/>
      <c r="F128" s="35" t="n"/>
      <c r="G128" s="41" t="n"/>
      <c r="H128" s="34" t="n"/>
      <c r="I128" s="36" t="n"/>
      <c r="J128" s="37" t="n"/>
    </row>
    <row r="129" ht="15" customHeight="1" s="62">
      <c r="A129" s="54" t="n"/>
      <c r="B129" s="33" t="n"/>
      <c r="C129" s="34" t="n"/>
      <c r="D129" s="34" t="n"/>
      <c r="E129" s="35" t="n"/>
      <c r="F129" s="35" t="n"/>
      <c r="G129" s="41" t="n"/>
      <c r="H129" s="34" t="n"/>
      <c r="I129" s="36" t="n"/>
      <c r="J129" s="37" t="n"/>
    </row>
    <row r="130" ht="15" customHeight="1" s="62">
      <c r="A130" s="54" t="n"/>
      <c r="B130" s="33" t="n"/>
      <c r="C130" s="34" t="n"/>
      <c r="D130" s="34" t="n"/>
      <c r="E130" s="35" t="n"/>
      <c r="F130" s="35" t="n"/>
      <c r="G130" s="41" t="n"/>
      <c r="H130" s="34" t="n"/>
      <c r="I130" s="36" t="n"/>
      <c r="J130" s="37" t="n"/>
    </row>
    <row r="131" ht="15" customHeight="1" s="62">
      <c r="A131" s="54" t="n"/>
      <c r="B131" s="33" t="n"/>
      <c r="C131" s="34" t="n"/>
      <c r="D131" s="34" t="n"/>
      <c r="E131" s="35" t="n"/>
      <c r="F131" s="35" t="n"/>
      <c r="G131" s="41" t="n"/>
      <c r="H131" s="34" t="n"/>
      <c r="I131" s="36" t="n"/>
      <c r="J131" s="37" t="n"/>
    </row>
    <row r="132" ht="15" customHeight="1" s="62">
      <c r="A132" s="54" t="n"/>
      <c r="B132" s="33" t="n"/>
      <c r="C132" s="34" t="n"/>
      <c r="D132" s="34" t="n"/>
      <c r="E132" s="35" t="n"/>
      <c r="F132" s="35" t="n"/>
      <c r="G132" s="41" t="n"/>
      <c r="H132" s="34" t="n"/>
      <c r="I132" s="36" t="n"/>
      <c r="J132" s="37" t="n"/>
    </row>
    <row r="133" ht="15" customHeight="1" s="62">
      <c r="A133" s="54" t="n"/>
      <c r="B133" s="33" t="n"/>
      <c r="C133" s="34" t="n"/>
      <c r="D133" s="34" t="n"/>
      <c r="E133" s="35" t="n"/>
      <c r="F133" s="35" t="n"/>
      <c r="G133" s="41" t="n"/>
      <c r="H133" s="34" t="n"/>
      <c r="I133" s="36" t="n"/>
      <c r="J133" s="37" t="n"/>
    </row>
    <row r="134" ht="15" customHeight="1" s="62">
      <c r="A134" s="54" t="n"/>
      <c r="B134" s="33" t="n"/>
      <c r="C134" s="34" t="n"/>
      <c r="D134" s="34" t="n"/>
      <c r="E134" s="35" t="n"/>
      <c r="F134" s="35" t="n"/>
      <c r="G134" s="41" t="n"/>
      <c r="H134" s="34" t="n"/>
      <c r="I134" s="36" t="n"/>
      <c r="J134" s="37" t="n"/>
    </row>
    <row r="135" ht="15" customHeight="1" s="62">
      <c r="A135" s="54" t="n"/>
      <c r="B135" s="33" t="n"/>
      <c r="C135" s="34" t="n"/>
      <c r="D135" s="34" t="n"/>
      <c r="E135" s="35" t="n"/>
      <c r="F135" s="35" t="n"/>
      <c r="G135" s="41" t="n"/>
      <c r="H135" s="34" t="n"/>
      <c r="I135" s="36" t="n"/>
      <c r="J135" s="37" t="n"/>
    </row>
    <row r="136" ht="15" customHeight="1" s="62">
      <c r="A136" s="54" t="n"/>
      <c r="B136" s="33" t="n"/>
      <c r="C136" s="34" t="n"/>
      <c r="D136" s="34" t="n"/>
      <c r="E136" s="35" t="n"/>
      <c r="F136" s="35" t="n"/>
      <c r="G136" s="41" t="n"/>
      <c r="H136" s="34" t="n"/>
      <c r="I136" s="36" t="n"/>
      <c r="J136" s="37" t="n"/>
    </row>
    <row r="137" ht="15" customHeight="1" s="62">
      <c r="A137" s="54" t="n"/>
      <c r="B137" s="33" t="n"/>
      <c r="C137" s="34" t="n"/>
      <c r="D137" s="34" t="n"/>
      <c r="E137" s="35" t="n"/>
      <c r="F137" s="35" t="n"/>
      <c r="G137" s="41" t="n"/>
      <c r="H137" s="34" t="n"/>
      <c r="I137" s="36" t="n"/>
      <c r="J137" s="37" t="n"/>
    </row>
    <row r="138" ht="15" customHeight="1" s="62">
      <c r="A138" s="54" t="n"/>
      <c r="B138" s="33" t="n"/>
      <c r="C138" s="34" t="n"/>
      <c r="D138" s="34" t="n"/>
      <c r="E138" s="35" t="n"/>
      <c r="F138" s="35" t="n"/>
      <c r="G138" s="41" t="n"/>
      <c r="H138" s="34" t="n"/>
      <c r="I138" s="36" t="n"/>
      <c r="J138" s="37" t="n"/>
    </row>
    <row r="139" ht="15" customHeight="1" s="62">
      <c r="A139" s="54" t="n"/>
      <c r="B139" s="33" t="n"/>
      <c r="C139" s="34" t="n"/>
      <c r="D139" s="34" t="n"/>
      <c r="E139" s="35" t="n"/>
      <c r="F139" s="35" t="n"/>
      <c r="G139" s="41" t="n"/>
      <c r="H139" s="34" t="n"/>
      <c r="I139" s="36" t="n"/>
      <c r="J139" s="37" t="n"/>
    </row>
    <row r="140" ht="15" customHeight="1" s="62">
      <c r="A140" s="54" t="n"/>
      <c r="B140" s="33" t="n"/>
      <c r="C140" s="34" t="n"/>
      <c r="D140" s="34" t="n"/>
      <c r="E140" s="35" t="n"/>
      <c r="F140" s="35" t="n"/>
      <c r="G140" s="41" t="n"/>
      <c r="H140" s="34" t="n"/>
      <c r="I140" s="36" t="n"/>
      <c r="J140" s="37" t="n"/>
    </row>
    <row r="141" ht="15" customHeight="1" s="62">
      <c r="A141" s="54" t="n"/>
      <c r="B141" s="33" t="n"/>
      <c r="C141" s="34" t="n"/>
      <c r="D141" s="34" t="n"/>
      <c r="E141" s="35" t="n"/>
      <c r="F141" s="35" t="n"/>
      <c r="G141" s="41" t="n"/>
      <c r="H141" s="34" t="n"/>
      <c r="I141" s="36" t="n"/>
      <c r="J141" s="37" t="n"/>
    </row>
    <row r="142" ht="15" customHeight="1" s="62">
      <c r="A142" s="54" t="n"/>
      <c r="B142" s="33" t="n"/>
      <c r="C142" s="34" t="n"/>
      <c r="D142" s="34" t="n"/>
      <c r="E142" s="35" t="n"/>
      <c r="F142" s="35" t="n"/>
      <c r="G142" s="41" t="n"/>
      <c r="H142" s="34" t="n"/>
      <c r="I142" s="36" t="n"/>
      <c r="J142" s="37" t="n"/>
    </row>
    <row r="143" ht="15" customHeight="1" s="62">
      <c r="A143" s="54" t="n"/>
      <c r="B143" s="33" t="n"/>
      <c r="C143" s="34" t="n"/>
      <c r="D143" s="34" t="n"/>
      <c r="E143" s="35" t="n"/>
      <c r="F143" s="35" t="n"/>
      <c r="G143" s="41" t="n"/>
      <c r="H143" s="34" t="n"/>
      <c r="I143" s="36" t="n"/>
      <c r="J143" s="37" t="n"/>
    </row>
    <row r="144" ht="15" customHeight="1" s="62">
      <c r="A144" s="54" t="n"/>
      <c r="B144" s="33" t="n"/>
      <c r="C144" s="34" t="n"/>
      <c r="D144" s="34" t="n"/>
      <c r="E144" s="35" t="n"/>
      <c r="F144" s="35" t="n"/>
      <c r="G144" s="41" t="n"/>
      <c r="H144" s="34" t="n"/>
      <c r="I144" s="36" t="n"/>
      <c r="J144" s="37" t="n"/>
    </row>
    <row r="145" ht="15" customHeight="1" s="62">
      <c r="A145" s="54" t="n"/>
      <c r="B145" s="33" t="n"/>
      <c r="C145" s="34" t="n"/>
      <c r="D145" s="34" t="n"/>
      <c r="E145" s="35" t="n"/>
      <c r="F145" s="35" t="n"/>
      <c r="G145" s="41" t="n"/>
      <c r="H145" s="34" t="n"/>
      <c r="I145" s="36" t="n"/>
      <c r="J145" s="37" t="n"/>
    </row>
    <row r="146" ht="15" customHeight="1" s="62">
      <c r="A146" s="54" t="n"/>
      <c r="B146" s="33" t="n"/>
      <c r="C146" s="34" t="n"/>
      <c r="D146" s="34" t="n"/>
      <c r="E146" s="35" t="n"/>
      <c r="F146" s="35" t="n"/>
      <c r="G146" s="41" t="n"/>
      <c r="H146" s="34" t="n"/>
      <c r="I146" s="36" t="n"/>
      <c r="J146" s="37" t="n"/>
    </row>
    <row r="147" ht="15" customHeight="1" s="62">
      <c r="A147" s="54" t="n"/>
      <c r="B147" s="33" t="n"/>
      <c r="C147" s="34" t="n"/>
      <c r="D147" s="34" t="n"/>
      <c r="E147" s="35" t="n"/>
      <c r="F147" s="35" t="n"/>
      <c r="G147" s="41" t="n"/>
      <c r="H147" s="34" t="n"/>
      <c r="I147" s="36" t="n"/>
      <c r="J147" s="37" t="n"/>
    </row>
    <row r="148" ht="15" customHeight="1" s="62">
      <c r="A148" s="54" t="n"/>
      <c r="B148" s="33" t="n"/>
      <c r="C148" s="34" t="n"/>
      <c r="D148" s="34" t="n"/>
      <c r="E148" s="35" t="n"/>
      <c r="F148" s="35" t="n"/>
      <c r="G148" s="41" t="n"/>
      <c r="H148" s="34" t="n"/>
      <c r="I148" s="36" t="n"/>
      <c r="J148" s="37" t="n"/>
    </row>
    <row r="149" ht="15" customHeight="1" s="62">
      <c r="A149" s="54" t="n"/>
      <c r="B149" s="33" t="n"/>
      <c r="C149" s="34" t="n"/>
      <c r="D149" s="34" t="n"/>
      <c r="E149" s="35" t="n"/>
      <c r="F149" s="35" t="n"/>
      <c r="G149" s="41" t="n"/>
      <c r="H149" s="34" t="n"/>
      <c r="I149" s="36" t="n"/>
      <c r="J149" s="37" t="n"/>
    </row>
    <row r="150" ht="15" customHeight="1" s="62">
      <c r="A150" s="54" t="n"/>
      <c r="B150" s="33" t="n"/>
      <c r="C150" s="34" t="n"/>
      <c r="D150" s="34" t="n"/>
      <c r="E150" s="35" t="n"/>
      <c r="F150" s="35" t="n"/>
      <c r="G150" s="41" t="n"/>
      <c r="H150" s="34" t="n"/>
      <c r="I150" s="36" t="n"/>
      <c r="J150" s="37" t="n"/>
    </row>
    <row r="151" ht="15" customHeight="1" s="62">
      <c r="A151" s="54" t="n"/>
      <c r="B151" s="33" t="n"/>
      <c r="C151" s="34" t="n"/>
      <c r="D151" s="34" t="n"/>
      <c r="E151" s="35" t="n"/>
      <c r="F151" s="35" t="n"/>
      <c r="G151" s="41" t="n"/>
      <c r="H151" s="34" t="n"/>
      <c r="I151" s="36" t="n"/>
      <c r="J151" s="37" t="n"/>
    </row>
    <row r="152" ht="15" customHeight="1" s="62">
      <c r="A152" s="54" t="n"/>
      <c r="B152" s="33" t="n"/>
      <c r="C152" s="34" t="n"/>
      <c r="D152" s="34" t="n"/>
      <c r="E152" s="35" t="n"/>
      <c r="F152" s="35" t="n"/>
      <c r="G152" s="41" t="n"/>
      <c r="H152" s="34" t="n"/>
      <c r="I152" s="36" t="n"/>
      <c r="J152" s="37" t="n"/>
    </row>
    <row r="153" ht="15" customHeight="1" s="62">
      <c r="A153" s="54" t="n"/>
      <c r="B153" s="33" t="n"/>
      <c r="C153" s="34" t="n"/>
      <c r="D153" s="34" t="n"/>
      <c r="E153" s="35" t="n"/>
      <c r="F153" s="35" t="n"/>
      <c r="G153" s="41" t="n"/>
      <c r="H153" s="34" t="n"/>
      <c r="I153" s="36" t="n"/>
      <c r="J153" s="37" t="n"/>
    </row>
    <row r="154" ht="15" customHeight="1" s="62">
      <c r="A154" s="54" t="n"/>
      <c r="B154" s="33" t="n"/>
      <c r="C154" s="34" t="n"/>
      <c r="D154" s="34" t="n"/>
      <c r="E154" s="35" t="n"/>
      <c r="F154" s="35" t="n"/>
      <c r="G154" s="41" t="n"/>
      <c r="H154" s="34" t="n"/>
      <c r="I154" s="36" t="n"/>
      <c r="J154" s="37" t="n"/>
    </row>
    <row r="155" ht="15" customHeight="1" s="62">
      <c r="A155" s="54" t="n"/>
      <c r="B155" s="33" t="n"/>
      <c r="C155" s="34" t="n"/>
      <c r="D155" s="34" t="n"/>
      <c r="E155" s="35" t="n"/>
      <c r="F155" s="35" t="n"/>
      <c r="G155" s="41" t="n"/>
      <c r="H155" s="34" t="n"/>
      <c r="I155" s="36" t="n"/>
      <c r="J155" s="37" t="n"/>
    </row>
    <row r="156" ht="15" customHeight="1" s="62">
      <c r="A156" s="54" t="n"/>
      <c r="B156" s="33" t="n"/>
      <c r="C156" s="34" t="n"/>
      <c r="D156" s="34" t="n"/>
      <c r="E156" s="35" t="n"/>
      <c r="F156" s="35" t="n"/>
      <c r="G156" s="41" t="n"/>
      <c r="H156" s="34" t="n"/>
      <c r="I156" s="36" t="n"/>
      <c r="J156" s="37" t="n"/>
    </row>
    <row r="157" ht="15" customHeight="1" s="62">
      <c r="A157" s="54" t="n"/>
      <c r="B157" s="33" t="n"/>
      <c r="C157" s="34" t="n"/>
      <c r="D157" s="34" t="n"/>
      <c r="E157" s="35" t="n"/>
      <c r="F157" s="35" t="n"/>
      <c r="G157" s="41" t="n"/>
      <c r="H157" s="34" t="n"/>
      <c r="I157" s="36" t="n"/>
      <c r="J157" s="37" t="n"/>
    </row>
    <row r="158" ht="15" customHeight="1" s="62">
      <c r="A158" s="54" t="n"/>
      <c r="B158" s="33" t="n"/>
      <c r="C158" s="34" t="n"/>
      <c r="D158" s="34" t="n"/>
      <c r="E158" s="35" t="n"/>
      <c r="F158" s="35" t="n"/>
      <c r="G158" s="41" t="n"/>
      <c r="H158" s="34" t="n"/>
      <c r="I158" s="36" t="n"/>
      <c r="J158" s="37" t="n"/>
    </row>
    <row r="159" ht="15" customHeight="1" s="62">
      <c r="A159" s="54" t="n"/>
      <c r="B159" s="33" t="n"/>
      <c r="C159" s="34" t="n"/>
      <c r="D159" s="34" t="n"/>
      <c r="E159" s="35" t="n"/>
      <c r="F159" s="35" t="n"/>
      <c r="G159" s="41" t="n"/>
      <c r="H159" s="34" t="n"/>
      <c r="I159" s="36" t="n"/>
      <c r="J159" s="37" t="n"/>
    </row>
    <row r="160" ht="15" customHeight="1" s="62">
      <c r="A160" s="54" t="n"/>
      <c r="B160" s="33" t="n"/>
      <c r="C160" s="34" t="n"/>
      <c r="D160" s="34" t="n"/>
      <c r="E160" s="35" t="n"/>
      <c r="F160" s="35" t="n"/>
      <c r="G160" s="41" t="n"/>
      <c r="H160" s="34" t="n"/>
      <c r="I160" s="36" t="n"/>
      <c r="J160" s="37" t="n"/>
    </row>
    <row r="161" ht="15" customHeight="1" s="62">
      <c r="A161" s="54" t="n"/>
      <c r="B161" s="33" t="n"/>
      <c r="C161" s="34" t="n"/>
      <c r="D161" s="34" t="n"/>
      <c r="E161" s="35" t="n"/>
      <c r="F161" s="35" t="n"/>
      <c r="G161" s="41" t="n"/>
      <c r="H161" s="34" t="n"/>
      <c r="I161" s="36" t="n"/>
      <c r="J161" s="37" t="n"/>
    </row>
    <row r="162" ht="15" customHeight="1" s="62">
      <c r="A162" s="54" t="n"/>
      <c r="B162" s="33" t="n"/>
      <c r="C162" s="34" t="n"/>
      <c r="D162" s="34" t="n"/>
      <c r="E162" s="35" t="n"/>
      <c r="F162" s="35" t="n"/>
      <c r="G162" s="41" t="n"/>
      <c r="H162" s="34" t="n"/>
      <c r="I162" s="36" t="n"/>
      <c r="J162" s="37" t="n"/>
    </row>
    <row r="163" ht="15" customHeight="1" s="62">
      <c r="A163" s="54" t="n"/>
      <c r="B163" s="33" t="n"/>
      <c r="C163" s="34" t="n"/>
      <c r="D163" s="34" t="n"/>
      <c r="E163" s="35" t="n"/>
      <c r="F163" s="35" t="n"/>
      <c r="G163" s="41" t="n"/>
      <c r="H163" s="34" t="n"/>
      <c r="I163" s="36" t="n"/>
      <c r="J163" s="37" t="n"/>
    </row>
    <row r="164" ht="15" customHeight="1" s="62">
      <c r="A164" s="54" t="n"/>
      <c r="B164" s="33" t="n"/>
      <c r="C164" s="34" t="n"/>
      <c r="D164" s="34" t="n"/>
      <c r="E164" s="35" t="n"/>
      <c r="F164" s="35" t="n"/>
      <c r="G164" s="41" t="n"/>
      <c r="H164" s="34" t="n"/>
      <c r="I164" s="36" t="n"/>
      <c r="J164" s="37" t="n"/>
    </row>
    <row r="165" ht="15" customHeight="1" s="62">
      <c r="A165" s="54" t="n"/>
      <c r="B165" s="33" t="n"/>
      <c r="C165" s="34" t="n"/>
      <c r="D165" s="34" t="n"/>
      <c r="E165" s="35" t="n"/>
      <c r="F165" s="35" t="n"/>
      <c r="G165" s="41" t="n"/>
      <c r="H165" s="34" t="n"/>
      <c r="I165" s="36" t="n"/>
      <c r="J165" s="37" t="n"/>
    </row>
    <row r="166" ht="15" customHeight="1" s="62">
      <c r="A166" s="54" t="n"/>
      <c r="B166" s="33" t="n"/>
      <c r="C166" s="34" t="n"/>
      <c r="D166" s="34" t="n"/>
      <c r="E166" s="35" t="n"/>
      <c r="F166" s="35" t="n"/>
      <c r="G166" s="41" t="n"/>
      <c r="H166" s="34" t="n"/>
      <c r="I166" s="36" t="n"/>
      <c r="J166" s="37" t="n"/>
    </row>
    <row r="167" ht="15" customHeight="1" s="62">
      <c r="A167" s="54" t="n"/>
      <c r="B167" s="33" t="n"/>
      <c r="C167" s="34" t="n"/>
      <c r="D167" s="34" t="n"/>
      <c r="E167" s="35" t="n"/>
      <c r="F167" s="35" t="n"/>
      <c r="G167" s="41" t="n"/>
      <c r="H167" s="34" t="n"/>
      <c r="I167" s="36" t="n"/>
      <c r="J167" s="37" t="n"/>
    </row>
    <row r="168" ht="15" customHeight="1" s="62">
      <c r="A168" s="54" t="n"/>
      <c r="B168" s="33" t="n"/>
      <c r="C168" s="34" t="n"/>
      <c r="D168" s="34" t="n"/>
      <c r="E168" s="35" t="n"/>
      <c r="F168" s="35" t="n"/>
      <c r="G168" s="41" t="n"/>
      <c r="H168" s="34" t="n"/>
      <c r="I168" s="36" t="n"/>
      <c r="J168" s="37" t="n"/>
    </row>
    <row r="169" ht="15" customHeight="1" s="62">
      <c r="A169" s="54" t="n"/>
      <c r="B169" s="33" t="n"/>
      <c r="C169" s="34" t="n"/>
      <c r="D169" s="34" t="n"/>
      <c r="E169" s="35" t="n"/>
      <c r="F169" s="35" t="n"/>
      <c r="G169" s="41" t="n"/>
      <c r="H169" s="34" t="n"/>
      <c r="I169" s="36" t="n"/>
      <c r="J169" s="37" t="n"/>
    </row>
    <row r="170" ht="15" customHeight="1" s="62">
      <c r="A170" s="54" t="n"/>
      <c r="B170" s="33" t="n"/>
      <c r="C170" s="34" t="n"/>
      <c r="D170" s="34" t="n"/>
      <c r="E170" s="35" t="n"/>
      <c r="F170" s="35" t="n"/>
      <c r="G170" s="41" t="n"/>
      <c r="H170" s="34" t="n"/>
      <c r="I170" s="36" t="n"/>
      <c r="J170" s="37" t="n"/>
    </row>
    <row r="171" ht="15" customHeight="1" s="62">
      <c r="A171" s="54" t="n"/>
      <c r="B171" s="33" t="n"/>
      <c r="C171" s="34" t="n"/>
      <c r="D171" s="34" t="n"/>
      <c r="E171" s="35" t="n"/>
      <c r="F171" s="35" t="n"/>
      <c r="G171" s="41" t="n"/>
      <c r="H171" s="34" t="n"/>
      <c r="I171" s="36" t="n"/>
      <c r="J171" s="37" t="n"/>
    </row>
    <row r="172" ht="15" customHeight="1" s="62">
      <c r="A172" s="54" t="n"/>
      <c r="B172" s="33" t="n"/>
      <c r="C172" s="34" t="n"/>
      <c r="D172" s="34" t="n"/>
      <c r="E172" s="35" t="n"/>
      <c r="F172" s="35" t="n"/>
      <c r="G172" s="41" t="n"/>
      <c r="H172" s="34" t="n"/>
      <c r="I172" s="36" t="n"/>
      <c r="J172" s="37" t="n"/>
    </row>
    <row r="173" ht="15" customHeight="1" s="62">
      <c r="A173" s="54" t="n"/>
      <c r="B173" s="33" t="n"/>
      <c r="C173" s="34" t="n"/>
      <c r="D173" s="34" t="n"/>
      <c r="E173" s="35" t="n"/>
      <c r="F173" s="35" t="n"/>
      <c r="G173" s="41" t="n"/>
      <c r="H173" s="34" t="n"/>
      <c r="I173" s="36" t="n"/>
      <c r="J173" s="37" t="n"/>
    </row>
    <row r="174" ht="15" customHeight="1" s="62">
      <c r="A174" s="54" t="n"/>
      <c r="B174" s="33" t="n"/>
      <c r="C174" s="34" t="n"/>
      <c r="D174" s="34" t="n"/>
      <c r="E174" s="35" t="n"/>
      <c r="F174" s="35" t="n"/>
      <c r="G174" s="41" t="n"/>
      <c r="H174" s="34" t="n"/>
      <c r="I174" s="36" t="n"/>
      <c r="J174" s="37" t="n"/>
    </row>
    <row r="175" ht="15" customHeight="1" s="62">
      <c r="A175" s="54" t="n"/>
      <c r="B175" s="33" t="n"/>
      <c r="C175" s="34" t="n"/>
      <c r="D175" s="34" t="n"/>
      <c r="E175" s="35" t="n"/>
      <c r="F175" s="35" t="n"/>
      <c r="G175" s="41" t="n"/>
      <c r="H175" s="34" t="n"/>
      <c r="I175" s="36" t="n"/>
      <c r="J175" s="37" t="n"/>
    </row>
    <row r="176" ht="15" customHeight="1" s="62">
      <c r="A176" s="54" t="n"/>
      <c r="B176" s="33" t="n"/>
      <c r="C176" s="34" t="n"/>
      <c r="D176" s="34" t="n"/>
      <c r="E176" s="35" t="n"/>
      <c r="F176" s="35" t="n"/>
      <c r="G176" s="41" t="n"/>
      <c r="H176" s="34" t="n"/>
      <c r="I176" s="36" t="n"/>
      <c r="J176" s="37" t="n"/>
    </row>
    <row r="177" ht="15" customHeight="1" s="62">
      <c r="A177" s="54" t="n"/>
      <c r="B177" s="33" t="n"/>
      <c r="C177" s="34" t="n"/>
      <c r="D177" s="34" t="n"/>
      <c r="E177" s="35" t="n"/>
      <c r="F177" s="35" t="n"/>
      <c r="G177" s="41" t="n"/>
      <c r="H177" s="34" t="n"/>
      <c r="I177" s="36" t="n"/>
      <c r="J177" s="37" t="n"/>
    </row>
    <row r="178" ht="15" customHeight="1" s="62">
      <c r="A178" s="54" t="n"/>
      <c r="B178" s="33" t="n"/>
      <c r="C178" s="34" t="n"/>
      <c r="D178" s="34" t="n"/>
      <c r="E178" s="35" t="n"/>
      <c r="F178" s="35" t="n"/>
      <c r="G178" s="41" t="n"/>
      <c r="H178" s="34" t="n"/>
      <c r="I178" s="36" t="n"/>
      <c r="J178" s="37" t="n"/>
    </row>
    <row r="179" ht="15" customHeight="1" s="62">
      <c r="A179" s="54" t="n"/>
      <c r="B179" s="33" t="n"/>
      <c r="C179" s="34" t="n"/>
      <c r="D179" s="34" t="n"/>
      <c r="E179" s="35" t="n"/>
      <c r="F179" s="35" t="n"/>
      <c r="G179" s="41" t="n"/>
      <c r="H179" s="34" t="n"/>
      <c r="I179" s="36" t="n"/>
      <c r="J179" s="37" t="n"/>
    </row>
    <row r="180" ht="15" customHeight="1" s="62">
      <c r="A180" s="54" t="n"/>
      <c r="B180" s="33" t="n"/>
      <c r="C180" s="34" t="n"/>
      <c r="D180" s="34" t="n"/>
      <c r="E180" s="35" t="n"/>
      <c r="F180" s="35" t="n"/>
      <c r="G180" s="41" t="n"/>
      <c r="H180" s="34" t="n"/>
      <c r="I180" s="36" t="n"/>
      <c r="J180" s="37" t="n"/>
    </row>
    <row r="181" ht="15" customHeight="1" s="62">
      <c r="A181" s="54" t="n"/>
      <c r="B181" s="33" t="n"/>
      <c r="C181" s="34" t="n"/>
      <c r="D181" s="34" t="n"/>
      <c r="E181" s="35" t="n"/>
      <c r="F181" s="35" t="n"/>
      <c r="G181" s="41" t="n"/>
      <c r="H181" s="34" t="n"/>
      <c r="I181" s="36" t="n"/>
      <c r="J181" s="37" t="n"/>
    </row>
    <row r="182" ht="15" customHeight="1" s="62">
      <c r="A182" s="54" t="n"/>
      <c r="B182" s="33" t="n"/>
      <c r="C182" s="34" t="n"/>
      <c r="D182" s="34" t="n"/>
      <c r="E182" s="35" t="n"/>
      <c r="F182" s="35" t="n"/>
      <c r="G182" s="41" t="n"/>
      <c r="H182" s="34" t="n"/>
      <c r="I182" s="36" t="n"/>
      <c r="J182" s="37" t="n"/>
    </row>
    <row r="183" ht="15" customHeight="1" s="62">
      <c r="A183" s="54" t="n"/>
      <c r="B183" s="33" t="n"/>
      <c r="C183" s="34" t="n"/>
      <c r="D183" s="34" t="n"/>
      <c r="E183" s="35" t="n"/>
      <c r="F183" s="35" t="n"/>
      <c r="G183" s="41" t="n"/>
      <c r="H183" s="34" t="n"/>
      <c r="I183" s="36" t="n"/>
      <c r="J183" s="37" t="n"/>
    </row>
    <row r="184" ht="15" customHeight="1" s="62">
      <c r="A184" s="54" t="n"/>
      <c r="B184" s="33" t="n"/>
      <c r="C184" s="34" t="n"/>
      <c r="D184" s="34" t="n"/>
      <c r="E184" s="35" t="n"/>
      <c r="F184" s="35" t="n"/>
      <c r="G184" s="41" t="n"/>
      <c r="H184" s="34" t="n"/>
      <c r="I184" s="36" t="n"/>
      <c r="J184" s="37" t="n"/>
    </row>
    <row r="185" ht="15" customHeight="1" s="62">
      <c r="A185" s="54" t="n"/>
      <c r="B185" s="33" t="n"/>
      <c r="C185" s="34" t="n"/>
      <c r="D185" s="34" t="n"/>
      <c r="E185" s="35" t="n"/>
      <c r="F185" s="35" t="n"/>
      <c r="G185" s="41" t="n"/>
      <c r="H185" s="34" t="n"/>
      <c r="I185" s="36" t="n"/>
      <c r="J185" s="37" t="n"/>
    </row>
    <row r="186" ht="15" customHeight="1" s="62">
      <c r="A186" s="54" t="n"/>
      <c r="B186" s="33" t="n"/>
      <c r="C186" s="34" t="n"/>
      <c r="D186" s="34" t="n"/>
      <c r="E186" s="35" t="n"/>
      <c r="F186" s="35" t="n"/>
      <c r="G186" s="41" t="n"/>
      <c r="H186" s="34" t="n"/>
      <c r="I186" s="36" t="n"/>
      <c r="J186" s="37" t="n"/>
    </row>
    <row r="187" ht="15" customHeight="1" s="62">
      <c r="A187" s="54" t="n"/>
      <c r="B187" s="33" t="n"/>
      <c r="C187" s="34" t="n"/>
      <c r="D187" s="34" t="n"/>
      <c r="E187" s="35" t="n"/>
      <c r="F187" s="35" t="n"/>
      <c r="G187" s="41" t="n"/>
      <c r="H187" s="34" t="n"/>
      <c r="I187" s="36" t="n"/>
      <c r="J187" s="37" t="n"/>
    </row>
    <row r="188" ht="15" customHeight="1" s="62">
      <c r="A188" s="54" t="n"/>
      <c r="B188" s="33" t="n"/>
      <c r="C188" s="34" t="n"/>
      <c r="D188" s="34" t="n"/>
      <c r="E188" s="35" t="n"/>
      <c r="F188" s="35" t="n"/>
      <c r="G188" s="41" t="n"/>
      <c r="H188" s="34" t="n"/>
      <c r="I188" s="36" t="n"/>
      <c r="J188" s="37" t="n"/>
    </row>
    <row r="189" ht="15" customHeight="1" s="62">
      <c r="A189" s="54" t="n"/>
      <c r="B189" s="33" t="n"/>
      <c r="C189" s="34" t="n"/>
      <c r="D189" s="34" t="n"/>
      <c r="E189" s="35" t="n"/>
      <c r="F189" s="35" t="n"/>
      <c r="G189" s="41" t="n"/>
      <c r="H189" s="34" t="n"/>
      <c r="I189" s="36" t="n"/>
      <c r="J189" s="37" t="n"/>
    </row>
    <row r="190" ht="15" customHeight="1" s="62">
      <c r="A190" s="54" t="n"/>
      <c r="B190" s="33" t="n"/>
      <c r="C190" s="34" t="n"/>
      <c r="D190" s="34" t="n"/>
      <c r="E190" s="35" t="n"/>
      <c r="F190" s="35" t="n"/>
      <c r="G190" s="41" t="n"/>
      <c r="H190" s="34" t="n"/>
      <c r="I190" s="36" t="n"/>
      <c r="J190" s="37" t="n"/>
    </row>
    <row r="191" ht="15" customHeight="1" s="62">
      <c r="A191" s="54" t="n"/>
      <c r="B191" s="33" t="n"/>
      <c r="C191" s="34" t="n"/>
      <c r="D191" s="34" t="n"/>
      <c r="E191" s="35" t="n"/>
      <c r="F191" s="35" t="n"/>
      <c r="G191" s="41" t="n"/>
      <c r="H191" s="34" t="n"/>
      <c r="I191" s="36" t="n"/>
      <c r="J191" s="37" t="n"/>
    </row>
    <row r="192" ht="15" customHeight="1" s="62">
      <c r="A192" s="54" t="n"/>
      <c r="B192" s="33" t="n"/>
      <c r="C192" s="34" t="n"/>
      <c r="D192" s="34" t="n"/>
      <c r="E192" s="35" t="n"/>
      <c r="F192" s="35" t="n"/>
      <c r="G192" s="41" t="n"/>
      <c r="H192" s="34" t="n"/>
      <c r="I192" s="36" t="n"/>
      <c r="J192" s="37" t="n"/>
    </row>
    <row r="193" ht="15" customHeight="1" s="62">
      <c r="A193" s="54" t="n"/>
      <c r="B193" s="33" t="n"/>
      <c r="C193" s="34" t="n"/>
      <c r="D193" s="34" t="n"/>
      <c r="E193" s="35" t="n"/>
      <c r="F193" s="35" t="n"/>
      <c r="G193" s="41" t="n"/>
      <c r="H193" s="34" t="n"/>
      <c r="I193" s="36" t="n"/>
      <c r="J193" s="37" t="n"/>
    </row>
    <row r="194" ht="15" customHeight="1" s="62">
      <c r="A194" s="54" t="n"/>
      <c r="B194" s="33" t="n"/>
      <c r="C194" s="34" t="n"/>
      <c r="D194" s="34" t="n"/>
      <c r="E194" s="35" t="n"/>
      <c r="F194" s="35" t="n"/>
      <c r="G194" s="41" t="n"/>
      <c r="H194" s="34" t="n"/>
      <c r="I194" s="36" t="n"/>
      <c r="J194" s="37" t="n"/>
    </row>
    <row r="195" ht="15" customHeight="1" s="62">
      <c r="A195" s="54" t="n"/>
      <c r="B195" s="33" t="n"/>
      <c r="C195" s="34" t="n"/>
      <c r="D195" s="34" t="n"/>
      <c r="E195" s="35" t="n"/>
      <c r="F195" s="35" t="n"/>
      <c r="G195" s="41" t="n"/>
      <c r="H195" s="34" t="n"/>
      <c r="I195" s="36" t="n"/>
      <c r="J195" s="37" t="n"/>
    </row>
    <row r="196" ht="15" customHeight="1" s="62">
      <c r="A196" s="54" t="n"/>
      <c r="B196" s="33" t="n"/>
      <c r="C196" s="34" t="n"/>
      <c r="D196" s="34" t="n"/>
      <c r="E196" s="35" t="n"/>
      <c r="F196" s="35" t="n"/>
      <c r="G196" s="41" t="n"/>
      <c r="H196" s="34" t="n"/>
      <c r="I196" s="36" t="n"/>
      <c r="J196" s="37" t="n"/>
    </row>
    <row r="197" ht="15" customHeight="1" s="62">
      <c r="A197" s="54" t="n"/>
      <c r="B197" s="33" t="n"/>
      <c r="C197" s="34" t="n"/>
      <c r="D197" s="34" t="n"/>
      <c r="E197" s="35" t="n"/>
      <c r="F197" s="35" t="n"/>
      <c r="G197" s="41" t="n"/>
      <c r="H197" s="34" t="n"/>
      <c r="I197" s="36" t="n"/>
      <c r="J197" s="37" t="n"/>
    </row>
    <row r="198" ht="15" customHeight="1" s="62">
      <c r="A198" s="54" t="n"/>
      <c r="B198" s="33" t="n"/>
      <c r="C198" s="34" t="n"/>
      <c r="D198" s="34" t="n"/>
      <c r="E198" s="35" t="n"/>
      <c r="F198" s="35" t="n"/>
      <c r="G198" s="41" t="n"/>
      <c r="H198" s="34" t="n"/>
      <c r="I198" s="36" t="n"/>
      <c r="J198" s="37" t="n"/>
    </row>
    <row r="199" ht="15" customHeight="1" s="62">
      <c r="A199" s="54" t="n"/>
      <c r="B199" s="33" t="n"/>
      <c r="C199" s="34" t="n"/>
      <c r="D199" s="34" t="n"/>
      <c r="E199" s="35" t="n"/>
      <c r="F199" s="35" t="n"/>
      <c r="G199" s="41" t="n"/>
      <c r="H199" s="34" t="n"/>
      <c r="I199" s="36" t="n"/>
      <c r="J199" s="37" t="n"/>
    </row>
    <row r="200" ht="15" customHeight="1" s="62">
      <c r="A200" s="54" t="n"/>
      <c r="B200" s="33" t="n"/>
      <c r="C200" s="34" t="n"/>
      <c r="D200" s="34" t="n"/>
      <c r="E200" s="35" t="n"/>
      <c r="F200" s="35" t="n"/>
      <c r="G200" s="41" t="n"/>
      <c r="H200" s="34" t="n"/>
      <c r="I200" s="36" t="n"/>
      <c r="J200" s="37" t="n"/>
    </row>
    <row r="201" ht="15" customHeight="1" s="62">
      <c r="A201" s="54" t="n"/>
      <c r="B201" s="33" t="n"/>
      <c r="C201" s="34" t="n"/>
      <c r="D201" s="34" t="n"/>
      <c r="E201" s="35" t="n"/>
      <c r="F201" s="35" t="n"/>
      <c r="G201" s="41" t="n"/>
      <c r="H201" s="34" t="n"/>
      <c r="I201" s="36" t="n"/>
      <c r="J201" s="37" t="n"/>
    </row>
    <row r="202" ht="15" customHeight="1" s="62">
      <c r="A202" s="54" t="n"/>
      <c r="B202" s="33" t="n"/>
      <c r="C202" s="34" t="n"/>
      <c r="D202" s="34" t="n"/>
      <c r="E202" s="35" t="n"/>
      <c r="F202" s="35" t="n"/>
      <c r="G202" s="41" t="n"/>
      <c r="H202" s="34" t="n"/>
      <c r="I202" s="36" t="n"/>
      <c r="J202" s="37" t="n"/>
    </row>
    <row r="203" ht="15" customHeight="1" s="62">
      <c r="A203" s="54" t="n"/>
      <c r="B203" s="33" t="n"/>
      <c r="C203" s="34" t="n"/>
      <c r="D203" s="34" t="n"/>
      <c r="E203" s="35" t="n"/>
      <c r="F203" s="35" t="n"/>
      <c r="G203" s="41" t="n"/>
      <c r="H203" s="34" t="n"/>
      <c r="I203" s="36" t="n"/>
      <c r="J203" s="37" t="n"/>
    </row>
    <row r="204" ht="15" customHeight="1" s="62">
      <c r="A204" s="54" t="n"/>
      <c r="B204" s="33" t="n"/>
      <c r="C204" s="34" t="n"/>
      <c r="D204" s="34" t="n"/>
      <c r="E204" s="35" t="n"/>
      <c r="F204" s="35" t="n"/>
      <c r="G204" s="41" t="n"/>
      <c r="H204" s="34" t="n"/>
      <c r="I204" s="36" t="n"/>
      <c r="J204" s="37" t="n"/>
    </row>
    <row r="205" ht="15" customHeight="1" s="62">
      <c r="A205" s="54" t="n"/>
      <c r="B205" s="33" t="n"/>
      <c r="C205" s="34" t="n"/>
      <c r="D205" s="34" t="n"/>
      <c r="E205" s="35" t="n"/>
      <c r="F205" s="35" t="n"/>
      <c r="G205" s="41" t="n"/>
      <c r="H205" s="34" t="n"/>
      <c r="I205" s="36" t="n"/>
      <c r="J205" s="37" t="n"/>
    </row>
  </sheetData>
  <mergeCells count="3">
    <mergeCell ref="A1:J1"/>
    <mergeCell ref="A4:J4"/>
    <mergeCell ref="A2:J2"/>
  </mergeCells>
  <conditionalFormatting sqref="A6:H100">
    <cfRule type="expression" priority="9" dxfId="1">
      <formula>$C6="Monthly Rent Charge"</formula>
    </cfRule>
    <cfRule type="expression" priority="11" dxfId="0">
      <formula>$C6="Payment Received"</formula>
    </cfRule>
  </conditionalFormatting>
  <conditionalFormatting sqref="H3">
    <cfRule type="cellIs" priority="16" operator="lessThan" dxfId="3">
      <formula>0</formula>
    </cfRule>
    <cfRule type="cellIs" priority="17" operator="equal" dxfId="3">
      <formula>0</formula>
    </cfRule>
    <cfRule type="cellIs" priority="18" operator="greaterThan" dxfId="2">
      <formula>0</formula>
    </cfRule>
  </conditionalFormatting>
  <conditionalFormatting sqref="I6:I100">
    <cfRule type="cellIs" priority="13" operator="lessThan" dxfId="3">
      <formula>0</formula>
    </cfRule>
    <cfRule type="cellIs" priority="14" operator="equal" dxfId="3">
      <formula>0</formula>
    </cfRule>
    <cfRule type="cellIs" priority="15" operator="greaterThan" dxfId="2">
      <formula>0</formula>
    </cfRule>
  </conditionalFormatting>
  <conditionalFormatting sqref="J6:J100">
    <cfRule type="expression" priority="10" dxfId="1">
      <formula>$C6="Monthly Rent Charge"</formula>
    </cfRule>
    <cfRule type="expression" priority="12" dxfId="0">
      <formula>$C6="Payment Received"</formula>
    </cfRule>
  </conditionalFormatting>
  <dataValidations count="3">
    <dataValidation sqref="B6:B70" showDropDown="0" showInputMessage="0" showErrorMessage="0" allowBlank="1" type="list">
      <formula1>"January,February,March,April,May,June,July,August,September,October,November,December"</formula1>
      <formula2>0</formula2>
    </dataValidation>
    <dataValidation sqref="C6:C70" showDropDown="0" showInputMessage="0" showErrorMessage="0" allowBlank="1" type="list">
      <formula1>"Monthly Rent Charge,Payment Received"</formula1>
      <formula2>0</formula2>
    </dataValidation>
    <dataValidation sqref="A6:A205" showDropDown="0" showInputMessage="1" showErrorMessage="1" allowBlank="1" errorTitle="Invalid date" error="Please enter a valid date." promptTitle="Select a date" prompt="Use the date picker or enter a valid payment date here." type="date">
      <formula1>DATE(2000,1,1)</formula1>
      <formula2>DATE(2100,12,31)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204"/>
  <sheetViews>
    <sheetView topLeftCell="A49" zoomScale="115" zoomScaleNormal="115" workbookViewId="0">
      <selection activeCell="H58" sqref="H58"/>
    </sheetView>
  </sheetViews>
  <sheetFormatPr baseColWidth="8" defaultColWidth="8.6640625" defaultRowHeight="14.4"/>
  <cols>
    <col width="14" customWidth="1" style="62" min="1" max="1"/>
    <col width="24" customWidth="1" style="62" min="3" max="3"/>
    <col width="12" customWidth="1" style="62" min="4" max="4"/>
    <col width="15" customWidth="1" style="62" min="5" max="5"/>
    <col width="17" customWidth="1" style="62" min="6" max="6"/>
    <col width="18" customWidth="1" style="62" min="7" max="7"/>
    <col width="22" customWidth="1" style="62" min="8" max="8"/>
    <col width="17" customWidth="1" style="62" min="9" max="9"/>
    <col width="30" customWidth="1" style="62" min="10" max="10"/>
    <col width="12" customWidth="1" style="62" min="11" max="11"/>
    <col width="10" customWidth="1" style="62" min="12" max="12"/>
  </cols>
  <sheetData>
    <row r="1" ht="19.5" customHeight="1" s="62">
      <c r="A1" s="74" t="inlineStr">
        <is>
          <t>Unit C1 — Tenant Statement / Ledger</t>
        </is>
      </c>
    </row>
    <row r="2" ht="27.75" customHeight="1" s="62">
      <c r="A2" s="76" t="inlineStr">
        <is>
          <t>Select a month to create a Monthly Rent Charge: the date fills as the first day of that month (current year) and description fills automatically. For a payment, leave Month blank and choose Payment Received.</t>
        </is>
      </c>
    </row>
    <row r="3" ht="15" customHeight="1" s="62">
      <c r="A3" s="25" t="inlineStr">
        <is>
          <t>Unit</t>
        </is>
      </c>
      <c r="B3" s="25" t="inlineStr">
        <is>
          <t>C1</t>
        </is>
      </c>
      <c r="C3" s="25" t="inlineStr">
        <is>
          <t>Current Rent</t>
        </is>
      </c>
      <c r="D3" s="26" t="n">
        <v>7500</v>
      </c>
      <c r="E3" s="26" t="inlineStr">
        <is>
          <t>Garbage</t>
        </is>
      </c>
      <c r="F3" s="26" t="n">
        <v>200</v>
      </c>
      <c r="G3" s="25" t="inlineStr">
        <is>
          <t>Current Balance</t>
        </is>
      </c>
      <c r="H3" s="27">
        <f>IFERROR(LOOKUP(9.99E+307,I6:I67),0)</f>
        <v/>
      </c>
      <c r="I3" s="25" t="inlineStr">
        <is>
          <t>Tenant</t>
        </is>
      </c>
      <c r="J3" s="28" t="inlineStr">
        <is>
          <t>HANINGTON WACIRA / POLLY</t>
        </is>
      </c>
      <c r="K3" s="29" t="inlineStr">
        <is>
          <t>Deposit Held</t>
        </is>
      </c>
      <c r="L3" s="30" t="n">
        <v>0</v>
      </c>
    </row>
    <row r="4">
      <c r="A4" s="75" t="inlineStr">
        <is>
          <t>Current tenant only. When vacating → copy rows to Archive sheet, then clear this ledger.</t>
        </is>
      </c>
    </row>
    <row r="5" ht="15" customHeight="1" s="62">
      <c r="A5" s="31" t="inlineStr">
        <is>
          <t>Date</t>
        </is>
      </c>
      <c r="B5" s="31" t="inlineStr">
        <is>
          <t>Month</t>
        </is>
      </c>
      <c r="C5" s="31" t="inlineStr">
        <is>
          <t>Description</t>
        </is>
      </c>
      <c r="D5" s="31" t="inlineStr">
        <is>
          <t>Tenant</t>
        </is>
      </c>
      <c r="E5" s="31" t="inlineStr">
        <is>
          <t>Rent Charged</t>
        </is>
      </c>
      <c r="F5" s="31" t="inlineStr">
        <is>
          <t>Garbage Charged</t>
        </is>
      </c>
      <c r="G5" s="31" t="inlineStr">
        <is>
          <t>Payment Received</t>
        </is>
      </c>
      <c r="H5" s="31" t="inlineStr">
        <is>
          <t>M-Pesa Reference</t>
        </is>
      </c>
      <c r="I5" s="31" t="inlineStr">
        <is>
          <t>Running Balance</t>
        </is>
      </c>
      <c r="J5" s="31" t="inlineStr">
        <is>
          <t>Remarks</t>
        </is>
      </c>
    </row>
    <row r="6" ht="15" customHeight="1" s="62">
      <c r="A6" s="54" t="n">
        <v>45383</v>
      </c>
      <c r="B6" s="33" t="inlineStr">
        <is>
          <t>April</t>
        </is>
      </c>
      <c r="C6" s="34">
        <f>IF(B6="","","Monthly Rent Charge")</f>
        <v/>
      </c>
      <c r="D6" s="34" t="n"/>
      <c r="E6" s="35" t="n">
        <v>30150</v>
      </c>
      <c r="F6" s="35" t="n">
        <v>0</v>
      </c>
      <c r="G6" s="41" t="n"/>
      <c r="H6" s="34" t="n"/>
      <c r="I6" s="36">
        <f>IF(A6="","",IF(C6="Payment Received",-IFERROR(G6,0),IF(C6="Monthly Rent Charge",IFERROR(E6,0)+IFERROR(F6,0),0)))</f>
        <v/>
      </c>
      <c r="J6" s="37" t="inlineStr">
        <is>
          <t>Balance brought forward</t>
        </is>
      </c>
    </row>
    <row r="7" ht="15" customHeight="1" s="62">
      <c r="A7" s="54" t="n">
        <v>45413</v>
      </c>
      <c r="B7" s="33" t="inlineStr">
        <is>
          <t>May</t>
        </is>
      </c>
      <c r="C7" s="34">
        <f>IF(B7="","","Monthly Rent Charge")</f>
        <v/>
      </c>
      <c r="D7" s="34" t="n"/>
      <c r="E7" s="35">
        <f>IF(C7="Monthly Rent Charge",$D$3,"")</f>
        <v/>
      </c>
      <c r="F7" s="35">
        <f>IF(C7="Monthly Rent Charge",$F$3,"")</f>
        <v/>
      </c>
      <c r="G7" s="41" t="n"/>
      <c r="H7" s="34" t="n"/>
      <c r="I7" s="36">
        <f>IF(A7="","",IF(C7="Payment Received",I6-IFERROR(G7,0),IF(C7="Monthly Rent Charge",I6+IFERROR(E7,0)+IFERROR(F7,0),I6)))</f>
        <v/>
      </c>
      <c r="J7" s="37" t="n"/>
    </row>
    <row r="8" ht="15" customHeight="1" s="62">
      <c r="A8" s="53" t="n">
        <v>45431</v>
      </c>
      <c r="B8" s="33" t="n"/>
      <c r="C8" s="34" t="inlineStr">
        <is>
          <t>Payment Received</t>
        </is>
      </c>
      <c r="D8" s="34" t="n"/>
      <c r="E8" s="35">
        <f>IF(C8="Monthly Rent Charge",$D$3,"")</f>
        <v/>
      </c>
      <c r="F8" s="35">
        <f>IF(C8="Monthly Rent Charge",$F$3,"")</f>
        <v/>
      </c>
      <c r="G8" s="41" t="n">
        <v>7700</v>
      </c>
      <c r="H8" s="39" t="inlineStr">
        <is>
          <t>SEJ1RV6JUN</t>
        </is>
      </c>
      <c r="I8" s="36">
        <f>IF(A8="","",IF(C8="Payment Received",I7-IFERROR(G8,0),IF(C8="Monthly Rent Charge",I7+IFERROR(E8,0)+IFERROR(F8,0),I7)))</f>
        <v/>
      </c>
      <c r="J8" s="37" t="n"/>
    </row>
    <row r="9" ht="15" customHeight="1" s="62">
      <c r="A9" s="54" t="n">
        <v>45444</v>
      </c>
      <c r="B9" s="33" t="inlineStr">
        <is>
          <t>June</t>
        </is>
      </c>
      <c r="C9" s="34">
        <f>IF(B9="","","Monthly Rent Charge")</f>
        <v/>
      </c>
      <c r="D9" s="34" t="n"/>
      <c r="E9" s="35">
        <f>IF(C9="Monthly Rent Charge",$D$3,"")</f>
        <v/>
      </c>
      <c r="F9" s="35">
        <f>IF(C9="Monthly Rent Charge",$F$3,"")</f>
        <v/>
      </c>
      <c r="G9" s="41" t="n"/>
      <c r="H9" s="34" t="n"/>
      <c r="I9" s="36">
        <f>IF(A9="","",IF(C9="Payment Received",I8-IFERROR(G9,0),IF(C9="Monthly Rent Charge",I8+IFERROR(E9,0)+IFERROR(F9,0),I8)))</f>
        <v/>
      </c>
      <c r="J9" s="37" t="n"/>
    </row>
    <row r="10" ht="15" customHeight="1" s="62">
      <c r="A10" s="53" t="n">
        <v>45448</v>
      </c>
      <c r="B10" s="33" t="n"/>
      <c r="C10" s="34" t="inlineStr">
        <is>
          <t>Payment Received</t>
        </is>
      </c>
      <c r="D10" s="34" t="n"/>
      <c r="E10" s="35">
        <f>IF(C10="Monthly Rent Charge",$D$3,"")</f>
        <v/>
      </c>
      <c r="F10" s="35">
        <f>IF(C10="Monthly Rent Charge",$F$3,"")</f>
        <v/>
      </c>
      <c r="G10" s="41" t="n">
        <v>7700</v>
      </c>
      <c r="H10" s="39" t="inlineStr">
        <is>
          <t>SF53K4CUNT</t>
        </is>
      </c>
      <c r="I10" s="36">
        <f>IF(A10="","",IF(C10="Payment Received",I9-IFERROR(G10,0),IF(C10="Monthly Rent Charge",I9+IFERROR(E10,0)+IFERROR(F10,0),I9)))</f>
        <v/>
      </c>
      <c r="J10" s="37" t="n"/>
    </row>
    <row r="11" ht="15" customHeight="1" s="62">
      <c r="A11" s="54" t="n">
        <v>45474</v>
      </c>
      <c r="B11" s="33" t="inlineStr">
        <is>
          <t>July</t>
        </is>
      </c>
      <c r="C11" s="34">
        <f>IF(B11="","","Monthly Rent Charge")</f>
        <v/>
      </c>
      <c r="D11" s="34" t="n"/>
      <c r="E11" s="35">
        <f>IF(C11="Monthly Rent Charge",$D$3,"")</f>
        <v/>
      </c>
      <c r="F11" s="35">
        <f>IF(C11="Monthly Rent Charge",$F$3,"")</f>
        <v/>
      </c>
      <c r="G11" s="41" t="n"/>
      <c r="H11" s="34" t="n"/>
      <c r="I11" s="36">
        <f>IF(A11="","",IF(C11="Payment Received",I10-IFERROR(G11,0),IF(C11="Monthly Rent Charge",I10+IFERROR(E11,0)+IFERROR(F11,0),I10)))</f>
        <v/>
      </c>
      <c r="J11" s="37" t="n"/>
    </row>
    <row r="12" ht="15" customHeight="1" s="62">
      <c r="A12" s="53" t="n">
        <v>45479</v>
      </c>
      <c r="B12" s="33" t="n"/>
      <c r="C12" s="34" t="inlineStr">
        <is>
          <t>Payment Received</t>
        </is>
      </c>
      <c r="D12" s="34" t="n"/>
      <c r="E12" s="35">
        <f>IF(C12="Monthly Rent Charge",$D$3,"")</f>
        <v/>
      </c>
      <c r="F12" s="35">
        <f>IF(C12="Monthly Rent Charge",$F$3,"")</f>
        <v/>
      </c>
      <c r="G12" s="41" t="n">
        <v>7700</v>
      </c>
      <c r="H12" s="39" t="inlineStr">
        <is>
          <t>SG68QT8WCG</t>
        </is>
      </c>
      <c r="I12" s="36">
        <f>IF(A12="","",IF(C12="Payment Received",I11-IFERROR(G12,0),IF(C12="Monthly Rent Charge",I11+IFERROR(E12,0)+IFERROR(F12,0),I11)))</f>
        <v/>
      </c>
      <c r="J12" s="37" t="n"/>
    </row>
    <row r="13" ht="15" customHeight="1" s="62">
      <c r="A13" s="54" t="n">
        <v>45505</v>
      </c>
      <c r="B13" s="33" t="inlineStr">
        <is>
          <t>August</t>
        </is>
      </c>
      <c r="C13" s="34">
        <f>IF(B13="","","Monthly Rent Charge")</f>
        <v/>
      </c>
      <c r="D13" s="34" t="n"/>
      <c r="E13" s="35">
        <f>IF(C13="Monthly Rent Charge",$D$3,"")</f>
        <v/>
      </c>
      <c r="F13" s="35">
        <f>IF(C13="Monthly Rent Charge",$F$3,"")</f>
        <v/>
      </c>
      <c r="G13" s="41" t="n"/>
      <c r="H13" s="34" t="n"/>
      <c r="I13" s="36">
        <f>IF(A13="","",IF(C13="Payment Received",I12-IFERROR(G13,0),IF(C13="Monthly Rent Charge",I12+IFERROR(E13,0)+IFERROR(F13,0),I12)))</f>
        <v/>
      </c>
      <c r="J13" s="37" t="n"/>
    </row>
    <row r="14" ht="15" customHeight="1" s="62">
      <c r="A14" s="53" t="n">
        <v>45508</v>
      </c>
      <c r="B14" s="33" t="n"/>
      <c r="C14" s="34" t="inlineStr">
        <is>
          <t>Payment Received</t>
        </is>
      </c>
      <c r="D14" s="34" t="n"/>
      <c r="E14" s="35">
        <f>IF(C14="Monthly Rent Charge",$D$3,"")</f>
        <v/>
      </c>
      <c r="F14" s="35">
        <f>IF(C14="Monthly Rent Charge",$F$3,"")</f>
        <v/>
      </c>
      <c r="G14" s="41" t="n">
        <v>10000</v>
      </c>
      <c r="H14" s="39" t="inlineStr">
        <is>
          <t>SH46VEAV96</t>
        </is>
      </c>
      <c r="I14" s="36">
        <f>IF(A14="","",IF(C14="Payment Received",I13-IFERROR(G14,0),IF(C14="Monthly Rent Charge",I13+IFERROR(E14,0)+IFERROR(F14,0),I13)))</f>
        <v/>
      </c>
      <c r="J14" s="37" t="n"/>
    </row>
    <row r="15" ht="15" customHeight="1" s="62">
      <c r="A15" s="54" t="n">
        <v>45536</v>
      </c>
      <c r="B15" s="33" t="inlineStr">
        <is>
          <t>September</t>
        </is>
      </c>
      <c r="C15" s="34">
        <f>IF(B15="","","Monthly Rent Charge")</f>
        <v/>
      </c>
      <c r="D15" s="34" t="n"/>
      <c r="E15" s="35">
        <f>IF(C15="Monthly Rent Charge",$D$3,"")</f>
        <v/>
      </c>
      <c r="F15" s="35">
        <f>IF(C15="Monthly Rent Charge",$F$3,"")</f>
        <v/>
      </c>
      <c r="G15" s="41" t="n"/>
      <c r="H15" s="34" t="n"/>
      <c r="I15" s="36">
        <f>IF(A15="","",IF(C15="Payment Received",I14-IFERROR(G15,0),IF(C15="Monthly Rent Charge",I14+IFERROR(E15,0)+IFERROR(F15,0),I14)))</f>
        <v/>
      </c>
      <c r="J15" s="37" t="n"/>
    </row>
    <row r="16" ht="15" customHeight="1" s="62">
      <c r="A16" s="53" t="n">
        <v>45541</v>
      </c>
      <c r="B16" s="33" t="n"/>
      <c r="C16" s="34" t="inlineStr">
        <is>
          <t>Payment Received</t>
        </is>
      </c>
      <c r="D16" s="34" t="n"/>
      <c r="E16" s="35">
        <f>IF(C16="Monthly Rent Charge",$D$3,"")</f>
        <v/>
      </c>
      <c r="F16" s="35">
        <f>IF(C16="Monthly Rent Charge",$F$3,"")</f>
        <v/>
      </c>
      <c r="G16" s="41" t="n">
        <v>7700</v>
      </c>
      <c r="H16" s="39" t="inlineStr">
        <is>
          <t>SI68L9BFHK</t>
        </is>
      </c>
      <c r="I16" s="36">
        <f>IF(A16="","",IF(C16="Payment Received",I15-IFERROR(G16,0),IF(C16="Monthly Rent Charge",I15+IFERROR(E16,0)+IFERROR(F16,0),I15)))</f>
        <v/>
      </c>
      <c r="J16" s="37" t="n"/>
    </row>
    <row r="17" ht="15" customHeight="1" s="62">
      <c r="A17" s="54" t="n">
        <v>45566</v>
      </c>
      <c r="B17" s="33" t="inlineStr">
        <is>
          <t>October</t>
        </is>
      </c>
      <c r="C17" s="34">
        <f>IF(B17="","","Monthly Rent Charge")</f>
        <v/>
      </c>
      <c r="D17" s="34" t="n"/>
      <c r="E17" s="35">
        <f>IF(C17="Monthly Rent Charge",$D$3,"")</f>
        <v/>
      </c>
      <c r="F17" s="35">
        <f>IF(C17="Monthly Rent Charge",$F$3,"")</f>
        <v/>
      </c>
      <c r="G17" s="41" t="n"/>
      <c r="H17" s="34" t="n"/>
      <c r="I17" s="36">
        <f>IF(A17="","",IF(C17="Payment Received",I16-IFERROR(G17,0),IF(C17="Monthly Rent Charge",I16+IFERROR(E17,0)+IFERROR(F17,0),I16)))</f>
        <v/>
      </c>
      <c r="J17" s="37" t="n"/>
    </row>
    <row r="18" ht="15" customHeight="1" s="62">
      <c r="A18" s="54" t="n">
        <v>45597</v>
      </c>
      <c r="B18" s="33" t="inlineStr">
        <is>
          <t>November</t>
        </is>
      </c>
      <c r="C18" s="34">
        <f>IF(B18="","","Monthly Rent Charge")</f>
        <v/>
      </c>
      <c r="D18" s="34" t="n"/>
      <c r="E18" s="35">
        <f>IF(C18="Monthly Rent Charge",$D$3,"")</f>
        <v/>
      </c>
      <c r="F18" s="35">
        <f>IF(C18="Monthly Rent Charge",$F$3,"")</f>
        <v/>
      </c>
      <c r="G18" s="41" t="n"/>
      <c r="H18" s="34" t="n"/>
      <c r="I18" s="36">
        <f>IF(A18="","",IF(C18="Payment Received",I17-IFERROR(G18,0),IF(C18="Monthly Rent Charge",I17+IFERROR(E18,0)+IFERROR(F18,0),I17)))</f>
        <v/>
      </c>
      <c r="J18" s="37" t="n"/>
    </row>
    <row r="19" ht="15" customHeight="1" s="62">
      <c r="A19" s="54" t="n">
        <v>45627</v>
      </c>
      <c r="B19" s="33" t="inlineStr">
        <is>
          <t>December</t>
        </is>
      </c>
      <c r="C19" s="34">
        <f>IF(B19="","","Monthly Rent Charge")</f>
        <v/>
      </c>
      <c r="D19" s="34" t="n"/>
      <c r="E19" s="35">
        <f>IF(C19="Monthly Rent Charge",$D$3,"")</f>
        <v/>
      </c>
      <c r="F19" s="35">
        <f>IF(C19="Monthly Rent Charge",$F$3,"")</f>
        <v/>
      </c>
      <c r="G19" s="41" t="n"/>
      <c r="H19" s="34" t="n"/>
      <c r="I19" s="36">
        <f>IF(A19="","",IF(C19="Payment Received",I18-IFERROR(G19,0),IF(C19="Monthly Rent Charge",I18+IFERROR(E19,0)+IFERROR(F19,0),I18)))</f>
        <v/>
      </c>
      <c r="J19" s="37" t="n"/>
    </row>
    <row r="20" ht="15" customHeight="1" s="62">
      <c r="A20" s="53" t="n">
        <v>45636</v>
      </c>
      <c r="B20" s="33" t="n"/>
      <c r="C20" s="34" t="inlineStr">
        <is>
          <t>Payment Received</t>
        </is>
      </c>
      <c r="D20" s="34" t="n"/>
      <c r="E20" s="35">
        <f>IF(C20="Monthly Rent Charge",$D$3,"")</f>
        <v/>
      </c>
      <c r="F20" s="35">
        <f>IF(C20="Monthly Rent Charge",$F$3,"")</f>
        <v/>
      </c>
      <c r="G20" s="41" t="n">
        <v>20000</v>
      </c>
      <c r="H20" s="39" t="inlineStr">
        <is>
          <t>SLA5ZF5HM1</t>
        </is>
      </c>
      <c r="I20" s="36">
        <f>IF(A20="","",IF(C20="Payment Received",I19-IFERROR(G20,0),IF(C20="Monthly Rent Charge",I19+IFERROR(E20,0)+IFERROR(F20,0),I19)))</f>
        <v/>
      </c>
      <c r="J20" s="37" t="n"/>
    </row>
    <row r="21" ht="15" customHeight="1" s="62">
      <c r="A21" s="54" t="n">
        <v>45658</v>
      </c>
      <c r="B21" s="33" t="inlineStr">
        <is>
          <t>January</t>
        </is>
      </c>
      <c r="C21" s="34">
        <f>IF(B21="","","Monthly Rent Charge")</f>
        <v/>
      </c>
      <c r="D21" s="34" t="n"/>
      <c r="E21" s="35">
        <f>IF(C21="Monthly Rent Charge",$D$3,"")</f>
        <v/>
      </c>
      <c r="F21" s="35">
        <f>IF(C21="Monthly Rent Charge",$F$3,"")</f>
        <v/>
      </c>
      <c r="G21" s="41" t="n"/>
      <c r="H21" s="34" t="n"/>
      <c r="I21" s="36">
        <f>IF(A21="","",IF(C21="Payment Received",I20-IFERROR(G21,0),IF(C21="Monthly Rent Charge",I20+IFERROR(E21,0)+IFERROR(F21,0),I20)))</f>
        <v/>
      </c>
      <c r="J21" s="37" t="n"/>
    </row>
    <row r="22" ht="15" customHeight="1" s="62">
      <c r="A22" s="53" t="n">
        <v>45672</v>
      </c>
      <c r="B22" s="33" t="n"/>
      <c r="C22" s="34" t="inlineStr">
        <is>
          <t>Payment Received</t>
        </is>
      </c>
      <c r="D22" s="34" t="n"/>
      <c r="E22" s="35">
        <f>IF(C22="Monthly Rent Charge",$D$3,"")</f>
        <v/>
      </c>
      <c r="F22" s="35">
        <f>IF(C22="Monthly Rent Charge",$F$3,"")</f>
        <v/>
      </c>
      <c r="G22" s="41" t="n">
        <v>10000</v>
      </c>
      <c r="H22" s="39" t="inlineStr">
        <is>
          <t>TAF9BPJUP9</t>
        </is>
      </c>
      <c r="I22" s="36">
        <f>IF(A22="","",IF(C22="Payment Received",I21-IFERROR(G22,0),IF(C22="Monthly Rent Charge",I21+IFERROR(E22,0)+IFERROR(F22,0),I21)))</f>
        <v/>
      </c>
      <c r="J22" s="37" t="n"/>
    </row>
    <row r="23" ht="15" customHeight="1" s="62">
      <c r="A23" s="54" t="n">
        <v>45689</v>
      </c>
      <c r="B23" s="33" t="inlineStr">
        <is>
          <t>February</t>
        </is>
      </c>
      <c r="C23" s="34">
        <f>IF(B23="","","Monthly Rent Charge")</f>
        <v/>
      </c>
      <c r="D23" s="34" t="n"/>
      <c r="E23" s="35">
        <f>IF(C23="Monthly Rent Charge",$D$3,"")</f>
        <v/>
      </c>
      <c r="F23" s="35">
        <f>IF(C23="Monthly Rent Charge",$F$3,"")</f>
        <v/>
      </c>
      <c r="G23" s="41" t="n"/>
      <c r="H23" s="34" t="n"/>
      <c r="I23" s="36">
        <f>IF(A23="","",IF(C23="Payment Received",I22-IFERROR(G23,0),IF(C23="Monthly Rent Charge",I22+IFERROR(E23,0)+IFERROR(F23,0),I22)))</f>
        <v/>
      </c>
      <c r="J23" s="37" t="n"/>
    </row>
    <row r="24" ht="15" customHeight="1" s="62">
      <c r="A24" s="54" t="n">
        <v>45717</v>
      </c>
      <c r="B24" s="33" t="inlineStr">
        <is>
          <t>March</t>
        </is>
      </c>
      <c r="C24" s="34">
        <f>IF(B24="","","Monthly Rent Charge")</f>
        <v/>
      </c>
      <c r="D24" s="34" t="n"/>
      <c r="E24" s="35">
        <f>IF(C24="Monthly Rent Charge",$D$3,"")</f>
        <v/>
      </c>
      <c r="F24" s="35">
        <f>IF(C24="Monthly Rent Charge",$F$3,"")</f>
        <v/>
      </c>
      <c r="G24" s="41" t="n"/>
      <c r="H24" s="34" t="n"/>
      <c r="I24" s="36">
        <f>IF(A24="","",IF(C24="Payment Received",I23-IFERROR(G24,0),IF(C24="Monthly Rent Charge",I23+IFERROR(E24,0)+IFERROR(F24,0),I23)))</f>
        <v/>
      </c>
      <c r="J24" s="37" t="n"/>
    </row>
    <row r="25" ht="15" customHeight="1" s="62">
      <c r="A25" s="54" t="n">
        <v>45748</v>
      </c>
      <c r="B25" s="33" t="inlineStr">
        <is>
          <t>April</t>
        </is>
      </c>
      <c r="C25" s="34">
        <f>IF(B25="","","Monthly Rent Charge")</f>
        <v/>
      </c>
      <c r="D25" s="34" t="n"/>
      <c r="E25" s="35">
        <f>IF(C25="Monthly Rent Charge",$D$3,"")</f>
        <v/>
      </c>
      <c r="F25" s="35">
        <f>IF(C25="Monthly Rent Charge",$F$3,"")</f>
        <v/>
      </c>
      <c r="G25" s="41" t="n"/>
      <c r="H25" s="34" t="n"/>
      <c r="I25" s="36">
        <f>IF(A25="","",IF(C25="Payment Received",I24-IFERROR(G25,0),IF(C25="Monthly Rent Charge",I24+IFERROR(E25,0)+IFERROR(F25,0),I24)))</f>
        <v/>
      </c>
      <c r="J25" s="37" t="n"/>
    </row>
    <row r="26" ht="15" customHeight="1" s="62">
      <c r="A26" s="53" t="n">
        <v>45760</v>
      </c>
      <c r="B26" s="33" t="n"/>
      <c r="C26" s="34" t="inlineStr">
        <is>
          <t>Payment Received</t>
        </is>
      </c>
      <c r="D26" s="34" t="n"/>
      <c r="E26" s="35">
        <f>IF(C26="Monthly Rent Charge",$D$3,"")</f>
        <v/>
      </c>
      <c r="F26" s="35">
        <f>IF(C26="Monthly Rent Charge",$F$3,"")</f>
        <v/>
      </c>
      <c r="G26" s="41" t="n">
        <v>9500</v>
      </c>
      <c r="H26" s="39" t="inlineStr">
        <is>
          <t>TDD0NARXMU</t>
        </is>
      </c>
      <c r="I26" s="36">
        <f>IF(A26="","",IF(C26="Payment Received",I25-IFERROR(G26,0),IF(C26="Monthly Rent Charge",I25+IFERROR(E26,0)+IFERROR(F26,0),I25)))</f>
        <v/>
      </c>
      <c r="J26" s="37" t="n"/>
    </row>
    <row r="27" ht="15" customHeight="1" s="62">
      <c r="A27" s="53" t="n">
        <v>45762</v>
      </c>
      <c r="B27" s="33" t="n"/>
      <c r="C27" s="34" t="inlineStr">
        <is>
          <t>Payment Received</t>
        </is>
      </c>
      <c r="D27" s="34" t="n"/>
      <c r="E27" s="35">
        <f>IF(C27="Monthly Rent Charge",$D$3,"")</f>
        <v/>
      </c>
      <c r="F27" s="35">
        <f>IF(C27="Monthly Rent Charge",$F$3,"")</f>
        <v/>
      </c>
      <c r="G27" s="41" t="n">
        <v>5000</v>
      </c>
      <c r="H27" s="39" t="inlineStr">
        <is>
          <t>TDF9SIFXT1</t>
        </is>
      </c>
      <c r="I27" s="36">
        <f>IF(A27="","",IF(C27="Payment Received",I26-IFERROR(G27,0),IF(C27="Monthly Rent Charge",I26+IFERROR(E27,0)+IFERROR(F27,0),I26)))</f>
        <v/>
      </c>
      <c r="J27" s="37" t="n"/>
    </row>
    <row r="28" ht="15" customHeight="1" s="62">
      <c r="A28" s="53" t="n">
        <v>45763</v>
      </c>
      <c r="B28" s="33" t="n"/>
      <c r="C28" s="34" t="inlineStr">
        <is>
          <t>Payment Received</t>
        </is>
      </c>
      <c r="D28" s="34" t="n"/>
      <c r="E28" s="35">
        <f>IF(C28="Monthly Rent Charge",$D$3,"")</f>
        <v/>
      </c>
      <c r="F28" s="35">
        <f>IF(C28="Monthly Rent Charge",$F$3,"")</f>
        <v/>
      </c>
      <c r="G28" s="41" t="n">
        <v>5000</v>
      </c>
      <c r="H28" s="39" t="inlineStr">
        <is>
          <t>TDG21HOGL8</t>
        </is>
      </c>
      <c r="I28" s="36">
        <f>IF(A28="","",IF(C28="Payment Received",I27-IFERROR(G28,0),IF(C28="Monthly Rent Charge",I27+IFERROR(E28,0)+IFERROR(F28,0),I27)))</f>
        <v/>
      </c>
      <c r="J28" s="37" t="n"/>
    </row>
    <row r="29" ht="15" customHeight="1" s="62">
      <c r="A29" s="54" t="n">
        <v>45778</v>
      </c>
      <c r="B29" s="33" t="inlineStr">
        <is>
          <t>May</t>
        </is>
      </c>
      <c r="C29" s="34">
        <f>IF(B29="","","Monthly Rent Charge")</f>
        <v/>
      </c>
      <c r="D29" s="34" t="n"/>
      <c r="E29" s="35">
        <f>IF(C29="Monthly Rent Charge",$D$3,"")</f>
        <v/>
      </c>
      <c r="F29" s="35">
        <f>IF(C29="Monthly Rent Charge",$F$3,"")</f>
        <v/>
      </c>
      <c r="G29" s="41" t="n"/>
      <c r="H29" s="34" t="n"/>
      <c r="I29" s="36">
        <f>IF(A29="","",IF(C29="Payment Received",I28-IFERROR(G29,0),IF(C29="Monthly Rent Charge",I28+IFERROR(E29,0)+IFERROR(F29,0),I28)))</f>
        <v/>
      </c>
      <c r="J29" s="37" t="n"/>
    </row>
    <row r="30" ht="15" customHeight="1" s="62">
      <c r="A30" s="53" t="n">
        <v>45808</v>
      </c>
      <c r="B30" s="33" t="n"/>
      <c r="C30" s="34" t="inlineStr">
        <is>
          <t>Payment Received</t>
        </is>
      </c>
      <c r="D30" s="34" t="n"/>
      <c r="E30" s="35">
        <f>IF(C30="Monthly Rent Charge",$D$3,"")</f>
        <v/>
      </c>
      <c r="F30" s="35">
        <f>IF(C30="Monthly Rent Charge",$F$3,"")</f>
        <v/>
      </c>
      <c r="G30" s="41" t="n">
        <v>20000</v>
      </c>
      <c r="H30" s="39" t="inlineStr">
        <is>
          <t>TEV7ZFOQYD</t>
        </is>
      </c>
      <c r="I30" s="36">
        <f>IF(A30="","",IF(C30="Payment Received",I29-IFERROR(G30,0),IF(C30="Monthly Rent Charge",I29+IFERROR(E30,0)+IFERROR(F30,0),I29)))</f>
        <v/>
      </c>
      <c r="J30" s="37" t="n"/>
    </row>
    <row r="31" ht="15" customHeight="1" s="62">
      <c r="A31" s="54" t="n">
        <v>45809</v>
      </c>
      <c r="B31" s="33" t="inlineStr">
        <is>
          <t>June</t>
        </is>
      </c>
      <c r="C31" s="34">
        <f>IF(B31="","","Monthly Rent Charge")</f>
        <v/>
      </c>
      <c r="D31" s="34" t="n"/>
      <c r="E31" s="35">
        <f>IF(C31="Monthly Rent Charge",$D$3,"")</f>
        <v/>
      </c>
      <c r="F31" s="35">
        <f>IF(C31="Monthly Rent Charge",$F$3,"")</f>
        <v/>
      </c>
      <c r="G31" s="41" t="n"/>
      <c r="H31" s="34" t="n"/>
      <c r="I31" s="36">
        <f>IF(A31="","",IF(C31="Payment Received",I30-IFERROR(G31,0),IF(C31="Monthly Rent Charge",I30+IFERROR(E31,0)+IFERROR(F31,0),I30)))</f>
        <v/>
      </c>
      <c r="J31" s="37" t="n"/>
    </row>
    <row r="32" ht="15" customHeight="1" s="62">
      <c r="A32" s="54" t="n">
        <v>45839</v>
      </c>
      <c r="B32" s="33" t="inlineStr">
        <is>
          <t>July</t>
        </is>
      </c>
      <c r="C32" s="34">
        <f>IF(B32="","","Monthly Rent Charge")</f>
        <v/>
      </c>
      <c r="D32" s="34" t="n"/>
      <c r="E32" s="35">
        <f>IF(C32="Monthly Rent Charge",$D$3,"")</f>
        <v/>
      </c>
      <c r="F32" s="35">
        <f>IF(C32="Monthly Rent Charge",$F$3,"")</f>
        <v/>
      </c>
      <c r="G32" s="41" t="n"/>
      <c r="H32" s="34" t="n"/>
      <c r="I32" s="36">
        <f>IF(A32="","",IF(C32="Payment Received",I31-IFERROR(G32,0),IF(C32="Monthly Rent Charge",I31+IFERROR(E32,0)+IFERROR(F32,0),I31)))</f>
        <v/>
      </c>
      <c r="J32" s="37" t="n"/>
    </row>
    <row r="33" ht="15" customHeight="1" s="62">
      <c r="A33" s="54" t="n">
        <v>45870</v>
      </c>
      <c r="B33" s="33" t="inlineStr">
        <is>
          <t>August</t>
        </is>
      </c>
      <c r="C33" s="34">
        <f>IF(B33="","","Monthly Rent Charge")</f>
        <v/>
      </c>
      <c r="D33" s="34" t="n"/>
      <c r="E33" s="35">
        <f>IF(C33="Monthly Rent Charge",$D$3,"")</f>
        <v/>
      </c>
      <c r="F33" s="35">
        <f>IF(C33="Monthly Rent Charge",$F$3,"")</f>
        <v/>
      </c>
      <c r="G33" s="41" t="n"/>
      <c r="H33" s="34" t="n"/>
      <c r="I33" s="36">
        <f>IF(A33="","",IF(C33="Payment Received",I32-IFERROR(G33,0),IF(C33="Monthly Rent Charge",I32+IFERROR(E33,0)+IFERROR(F33,0),I32)))</f>
        <v/>
      </c>
      <c r="J33" s="37" t="n"/>
    </row>
    <row r="34" ht="15" customHeight="1" s="62">
      <c r="A34" s="53" t="n">
        <v>45880</v>
      </c>
      <c r="B34" s="33" t="n"/>
      <c r="C34" s="34" t="inlineStr">
        <is>
          <t>Payment Received</t>
        </is>
      </c>
      <c r="D34" s="34" t="n"/>
      <c r="E34" s="35">
        <f>IF(C34="Monthly Rent Charge",$D$3,"")</f>
        <v/>
      </c>
      <c r="F34" s="35">
        <f>IF(C34="Monthly Rent Charge",$F$3,"")</f>
        <v/>
      </c>
      <c r="G34" s="41" t="n">
        <v>7700</v>
      </c>
      <c r="H34" s="39" t="inlineStr">
        <is>
          <t>THB1XMCKO5</t>
        </is>
      </c>
      <c r="I34" s="36">
        <f>IF(A34="","",IF(C34="Payment Received",I33-IFERROR(G34,0),IF(C34="Monthly Rent Charge",I33+IFERROR(E34,0)+IFERROR(F34,0),I33)))</f>
        <v/>
      </c>
      <c r="J34" s="37" t="n"/>
    </row>
    <row r="35" ht="15" customHeight="1" s="62">
      <c r="A35" s="53" t="n">
        <v>45891</v>
      </c>
      <c r="B35" s="33" t="n"/>
      <c r="C35" s="34" t="inlineStr">
        <is>
          <t>Payment Received</t>
        </is>
      </c>
      <c r="D35" s="34" t="n"/>
      <c r="E35" s="35">
        <f>IF(C35="Monthly Rent Charge",$D$3,"")</f>
        <v/>
      </c>
      <c r="F35" s="35">
        <f>IF(C35="Monthly Rent Charge",$F$3,"")</f>
        <v/>
      </c>
      <c r="G35" s="41" t="n">
        <v>7700</v>
      </c>
      <c r="H35" s="39" t="inlineStr">
        <is>
          <t>THM8IGI8CQ</t>
        </is>
      </c>
      <c r="I35" s="36">
        <f>IF(A35="","",IF(C35="Payment Received",I34-IFERROR(G35,0),IF(C35="Monthly Rent Charge",I34+IFERROR(E35,0)+IFERROR(F35,0),I34)))</f>
        <v/>
      </c>
      <c r="J35" s="37" t="n"/>
    </row>
    <row r="36" ht="15" customHeight="1" s="62">
      <c r="A36" s="53" t="n">
        <v>45900</v>
      </c>
      <c r="B36" s="33" t="n"/>
      <c r="C36" s="34" t="inlineStr">
        <is>
          <t>Payment Received</t>
        </is>
      </c>
      <c r="D36" s="34" t="n"/>
      <c r="E36" s="35">
        <f>IF(C36="Monthly Rent Charge",$D$3,"")</f>
        <v/>
      </c>
      <c r="F36" s="35">
        <f>IF(C36="Monthly Rent Charge",$F$3,"")</f>
        <v/>
      </c>
      <c r="G36" s="41" t="n">
        <v>7700</v>
      </c>
      <c r="H36" s="39" t="inlineStr">
        <is>
          <t>THV9SZVOK1</t>
        </is>
      </c>
      <c r="I36" s="36">
        <f>IF(A36="","",IF(C36="Payment Received",I35-IFERROR(G36,0),IF(C36="Monthly Rent Charge",I35+IFERROR(E36,0)+IFERROR(F36,0),I35)))</f>
        <v/>
      </c>
      <c r="J36" s="37" t="n"/>
    </row>
    <row r="37" ht="15" customHeight="1" s="62">
      <c r="A37" s="54" t="n">
        <v>45901</v>
      </c>
      <c r="B37" s="33" t="inlineStr">
        <is>
          <t>September</t>
        </is>
      </c>
      <c r="C37" s="34">
        <f>IF(B37="","","Monthly Rent Charge")</f>
        <v/>
      </c>
      <c r="D37" s="34" t="n"/>
      <c r="E37" s="35">
        <f>IF(C37="Monthly Rent Charge",$D$3,"")</f>
        <v/>
      </c>
      <c r="F37" s="35">
        <f>IF(C37="Monthly Rent Charge",$F$3,"")</f>
        <v/>
      </c>
      <c r="G37" s="41" t="n"/>
      <c r="H37" s="34" t="n"/>
      <c r="I37" s="36">
        <f>IF(A37="","",IF(C37="Payment Received",I36-IFERROR(G37,0),IF(C37="Monthly Rent Charge",I36+IFERROR(E37,0)+IFERROR(F37,0),I36)))</f>
        <v/>
      </c>
      <c r="J37" s="37" t="n"/>
    </row>
    <row r="38" ht="15" customHeight="1" s="62">
      <c r="A38" s="54" t="n">
        <v>45931</v>
      </c>
      <c r="B38" s="33" t="inlineStr">
        <is>
          <t>October</t>
        </is>
      </c>
      <c r="C38" s="34">
        <f>IF(B38="","","Monthly Rent Charge")</f>
        <v/>
      </c>
      <c r="D38" s="34" t="n"/>
      <c r="E38" s="35">
        <f>IF(C38="Monthly Rent Charge",$D$3,"")</f>
        <v/>
      </c>
      <c r="F38" s="35">
        <f>IF(C38="Monthly Rent Charge",$F$3,"")</f>
        <v/>
      </c>
      <c r="G38" s="41" t="n"/>
      <c r="H38" s="34" t="n"/>
      <c r="I38" s="36">
        <f>IF(A38="","",IF(C38="Payment Received",I37-IFERROR(G38,0),IF(C38="Monthly Rent Charge",I37+IFERROR(E38,0)+IFERROR(F38,0),I37)))</f>
        <v/>
      </c>
      <c r="J38" s="37" t="n"/>
    </row>
    <row r="39" ht="15" customHeight="1" s="62">
      <c r="A39" s="54" t="n">
        <v>45962</v>
      </c>
      <c r="B39" s="33" t="inlineStr">
        <is>
          <t>November</t>
        </is>
      </c>
      <c r="C39" s="34">
        <f>IF(B39="","","Monthly Rent Charge")</f>
        <v/>
      </c>
      <c r="D39" s="34" t="n"/>
      <c r="E39" s="35">
        <f>IF(C39="Monthly Rent Charge",$D$3,"")</f>
        <v/>
      </c>
      <c r="F39" s="35">
        <f>IF(C39="Monthly Rent Charge",$F$3,"")</f>
        <v/>
      </c>
      <c r="G39" s="41" t="n"/>
      <c r="H39" s="34" t="n"/>
      <c r="I39" s="36">
        <f>IF(A39="","",IF(C39="Payment Received",I38-IFERROR(G39,0),IF(C39="Monthly Rent Charge",I38+IFERROR(E39,0)+IFERROR(F39,0),I38)))</f>
        <v/>
      </c>
      <c r="J39" s="37" t="n"/>
    </row>
    <row r="40" ht="15" customHeight="1" s="62">
      <c r="A40" s="53" t="n">
        <v>45963</v>
      </c>
      <c r="B40" s="33" t="n"/>
      <c r="C40" s="34" t="inlineStr">
        <is>
          <t>Payment Received</t>
        </is>
      </c>
      <c r="D40" s="34" t="n"/>
      <c r="E40" s="35">
        <f>IF(C40="Monthly Rent Charge",$D$3,"")</f>
        <v/>
      </c>
      <c r="F40" s="35">
        <f>IF(C40="Monthly Rent Charge",$F$3,"")</f>
        <v/>
      </c>
      <c r="G40" s="41" t="n">
        <v>4350</v>
      </c>
      <c r="H40" s="39" t="inlineStr">
        <is>
          <t>TK29R92G87</t>
        </is>
      </c>
      <c r="I40" s="36">
        <f>IF(A40="","",IF(C40="Payment Received",I39-IFERROR(G40,0),IF(C40="Monthly Rent Charge",I39+IFERROR(E40,0)+IFERROR(F40,0),I39)))</f>
        <v/>
      </c>
      <c r="J40" s="37" t="n"/>
    </row>
    <row r="41" ht="15" customHeight="1" s="62">
      <c r="A41" s="54" t="n">
        <v>45992</v>
      </c>
      <c r="B41" s="33" t="inlineStr">
        <is>
          <t>December</t>
        </is>
      </c>
      <c r="C41" s="34">
        <f>IF(B41="","","Monthly Rent Charge")</f>
        <v/>
      </c>
      <c r="D41" s="34" t="n"/>
      <c r="E41" s="35">
        <f>IF(C41="Monthly Rent Charge",$D$3,"")</f>
        <v/>
      </c>
      <c r="F41" s="35">
        <f>IF(C41="Monthly Rent Charge",$F$3,"")</f>
        <v/>
      </c>
      <c r="G41" s="41" t="n"/>
      <c r="H41" s="34" t="n"/>
      <c r="I41" s="36">
        <f>IF(A41="","",IF(C41="Payment Received",I40-IFERROR(G41,0),IF(C41="Monthly Rent Charge",I40+IFERROR(E41,0)+IFERROR(F41,0),I40)))</f>
        <v/>
      </c>
      <c r="J41" s="37" t="n"/>
    </row>
    <row r="42" ht="15" customHeight="1" s="62">
      <c r="A42" s="53" t="n">
        <v>46005</v>
      </c>
      <c r="B42" s="33" t="n"/>
      <c r="C42" s="34" t="inlineStr">
        <is>
          <t>Payment Received</t>
        </is>
      </c>
      <c r="D42" s="34" t="n"/>
      <c r="E42" s="35">
        <f>IF(C42="Monthly Rent Charge",$D$3,"")</f>
        <v/>
      </c>
      <c r="F42" s="35">
        <f>IF(C42="Monthly Rent Charge",$F$3,"")</f>
        <v/>
      </c>
      <c r="G42" s="41" t="n">
        <v>10000</v>
      </c>
      <c r="H42" s="39" t="inlineStr">
        <is>
          <t>TLE9R10L9C</t>
        </is>
      </c>
      <c r="I42" s="36">
        <f>IF(A42="","",IF(C42="Payment Received",I41-IFERROR(G42,0),IF(C42="Monthly Rent Charge",I41+IFERROR(E42,0)+IFERROR(F42,0),I41)))</f>
        <v/>
      </c>
      <c r="J42" s="37" t="n"/>
    </row>
    <row r="43" ht="15" customHeight="1" s="62">
      <c r="A43" s="54">
        <f>IF(B43="","",DATE(YEAR(TODAY()),MATCH(B43,{"January","February","March","April","May","June","July","August","September","October","November","December"},0),1))</f>
        <v/>
      </c>
      <c r="B43" s="33" t="inlineStr">
        <is>
          <t>January</t>
        </is>
      </c>
      <c r="C43" s="34">
        <f>IF(B43="","","Monthly Rent Charge")</f>
        <v/>
      </c>
      <c r="D43" s="34" t="n"/>
      <c r="E43" s="35">
        <f>IF(C43="Monthly Rent Charge",$D$3,"")</f>
        <v/>
      </c>
      <c r="F43" s="35">
        <f>IF(C43="Monthly Rent Charge",$F$3,"")</f>
        <v/>
      </c>
      <c r="G43" s="41" t="n"/>
      <c r="H43" s="34" t="n"/>
      <c r="I43" s="36">
        <f>IF(A43="","",IF(C43="Payment Received",I42-IFERROR(G43,0),IF(C43="Monthly Rent Charge",I42+IFERROR(E43,0)+IFERROR(F43,0),I42)))</f>
        <v/>
      </c>
      <c r="J43" s="37" t="n"/>
    </row>
    <row r="44" ht="15" customHeight="1" s="62">
      <c r="A44" s="54">
        <f>IF(B44="","",DATE(YEAR(TODAY()),MATCH(B44,{"January","February","March","April","May","June","July","August","September","October","November","December"},0),1))</f>
        <v/>
      </c>
      <c r="B44" s="33" t="inlineStr">
        <is>
          <t>February</t>
        </is>
      </c>
      <c r="C44" s="34">
        <f>IF(B44="","","Monthly Rent Charge")</f>
        <v/>
      </c>
      <c r="D44" s="34" t="n"/>
      <c r="E44" s="35">
        <f>IF(C44="Monthly Rent Charge",$D$3,"")</f>
        <v/>
      </c>
      <c r="F44" s="35">
        <f>IF(C44="Monthly Rent Charge",$F$3,"")</f>
        <v/>
      </c>
      <c r="G44" s="41" t="n"/>
      <c r="H44" s="34" t="n"/>
      <c r="I44" s="36">
        <f>IF(A44="","",IF(C44="Payment Received",I43-IFERROR(G44,0),IF(C44="Monthly Rent Charge",I43+IFERROR(E44,0)+IFERROR(F44,0),I43)))</f>
        <v/>
      </c>
      <c r="J44" s="37" t="n"/>
    </row>
    <row r="45" ht="15" customHeight="1" s="62">
      <c r="A45" s="54">
        <f>IF(B45="","",DATE(YEAR(TODAY()),MATCH(B45,{"January","February","March","April","May","June","July","August","September","October","November","December"},0),1))</f>
        <v/>
      </c>
      <c r="B45" s="33" t="inlineStr">
        <is>
          <t>March</t>
        </is>
      </c>
      <c r="C45" s="34">
        <f>IF(B45="","","Monthly Rent Charge")</f>
        <v/>
      </c>
      <c r="D45" s="34" t="n"/>
      <c r="E45" s="35">
        <f>IF(C45="Monthly Rent Charge",$D$3,"")</f>
        <v/>
      </c>
      <c r="F45" s="35">
        <f>IF(C45="Monthly Rent Charge",$F$3,"")</f>
        <v/>
      </c>
      <c r="G45" s="41" t="n"/>
      <c r="H45" s="34" t="n"/>
      <c r="I45" s="36">
        <f>IF(A45="","",IF(C45="Payment Received",I44-IFERROR(G45,0),IF(C45="Monthly Rent Charge",I44+IFERROR(E45,0)+IFERROR(F45,0),I44)))</f>
        <v/>
      </c>
      <c r="J45" s="37" t="n"/>
    </row>
    <row r="46" ht="15" customHeight="1" s="62">
      <c r="A46" s="53" t="n">
        <v>46082</v>
      </c>
      <c r="B46" s="33" t="n"/>
      <c r="C46" s="34" t="inlineStr">
        <is>
          <t>Payment Received</t>
        </is>
      </c>
      <c r="D46" s="34" t="n"/>
      <c r="E46" s="35">
        <f>IF(C46="Monthly Rent Charge",$D$3,"")</f>
        <v/>
      </c>
      <c r="F46" s="35">
        <f>IF(C46="Monthly Rent Charge",$F$3,"")</f>
        <v/>
      </c>
      <c r="G46" s="41" t="n">
        <v>22100</v>
      </c>
      <c r="H46" s="39" t="inlineStr">
        <is>
          <t>UC19R84RTZ</t>
        </is>
      </c>
      <c r="I46" s="36">
        <f>IF(A46="","",IF(C46="Payment Received",I45-IFERROR(G46,0),IF(C46="Monthly Rent Charge",I45+IFERROR(E46,0)+IFERROR(F46,0),I45)))</f>
        <v/>
      </c>
      <c r="J46" s="37" t="n"/>
    </row>
    <row r="47" ht="15" customHeight="1" s="62">
      <c r="A47" s="54">
        <f>IF(B47="","",DATE(YEAR(TODAY()),MATCH(B47,{"January","February","March","April","May","June","July","August","September","October","November","December"},0),1))</f>
        <v/>
      </c>
      <c r="B47" s="33" t="inlineStr">
        <is>
          <t>April</t>
        </is>
      </c>
      <c r="C47" s="34">
        <f>IF(B47="","","Monthly Rent Charge")</f>
        <v/>
      </c>
      <c r="D47" s="34" t="n"/>
      <c r="E47" s="35">
        <f>IF(C47="Monthly Rent Charge",$D$3,"")</f>
        <v/>
      </c>
      <c r="F47" s="35">
        <f>IF(C47="Monthly Rent Charge",$F$3,"")</f>
        <v/>
      </c>
      <c r="G47" s="41" t="n"/>
      <c r="H47" s="34" t="n"/>
      <c r="I47" s="36">
        <f>IF(A47="","",IF(C47="Payment Received",I46-IFERROR(G47,0),IF(C47="Monthly Rent Charge",I46+IFERROR(E47,0)+IFERROR(F47,0),I46)))</f>
        <v/>
      </c>
      <c r="J47" s="37" t="n"/>
    </row>
    <row r="48" ht="15" customHeight="1" s="62">
      <c r="A48" s="53" t="n">
        <v>46116</v>
      </c>
      <c r="B48" s="33" t="n"/>
      <c r="C48" s="34" t="inlineStr">
        <is>
          <t>Payment Received</t>
        </is>
      </c>
      <c r="D48" s="34" t="n"/>
      <c r="E48" s="35">
        <f>IF(C48="Monthly Rent Charge",$D$3,"")</f>
        <v/>
      </c>
      <c r="F48" s="35">
        <f>IF(C48="Monthly Rent Charge",$F$3,"")</f>
        <v/>
      </c>
      <c r="G48" s="41" t="n">
        <v>7700</v>
      </c>
      <c r="H48" s="39" t="inlineStr">
        <is>
          <t>UD49RBOFZ1</t>
        </is>
      </c>
      <c r="I48" s="36">
        <f>IF(A48="","",IF(C48="Payment Received",I47-IFERROR(G48,0),IF(C48="Monthly Rent Charge",I47+IFERROR(E48,0)+IFERROR(F48,0),I47)))</f>
        <v/>
      </c>
      <c r="J48" s="37" t="n"/>
    </row>
    <row r="49" ht="15" customHeight="1" s="62">
      <c r="A49" s="54">
        <f>IF(B49="","",DATE(YEAR(TODAY()),MATCH(B49,{"January","February","March","April","May","June","July","August","September","October","November","December"},0),1))</f>
        <v/>
      </c>
      <c r="B49" s="33" t="inlineStr">
        <is>
          <t>May</t>
        </is>
      </c>
      <c r="C49" s="34">
        <f>IF(B49="","","Monthly Rent Charge")</f>
        <v/>
      </c>
      <c r="D49" s="34" t="n"/>
      <c r="E49" s="35">
        <f>IF(C49="Monthly Rent Charge",$D$3,"")</f>
        <v/>
      </c>
      <c r="F49" s="35">
        <f>IF(C49="Monthly Rent Charge",$F$3,"")</f>
        <v/>
      </c>
      <c r="G49" s="41" t="n"/>
      <c r="H49" s="34" t="n"/>
      <c r="I49" s="36">
        <f>IF(AND(A49="",C49=""),"",IF(C49="Payment Received",I48-IFERROR(G49,0),IF(C49="Monthly Rent Charge",I48+IFERROR(E49,0)+IFERROR(F49,0),I48)))</f>
        <v/>
      </c>
      <c r="J49" s="37" t="n"/>
    </row>
    <row r="50" ht="15" customHeight="1" s="62">
      <c r="A50" s="54" t="n">
        <v>46155</v>
      </c>
      <c r="B50" s="33" t="n"/>
      <c r="C50" s="34" t="inlineStr">
        <is>
          <t>Payment Received</t>
        </is>
      </c>
      <c r="D50" s="34" t="n"/>
      <c r="E50" s="35">
        <f>IF(C50="Monthly Rent Charge",$D$3,"")</f>
        <v/>
      </c>
      <c r="F50" s="35">
        <f>IF(C50="Monthly Rent Charge",$F$3,"")</f>
        <v/>
      </c>
      <c r="G50" s="41" t="n">
        <v>22400</v>
      </c>
      <c r="H50" s="34" t="inlineStr">
        <is>
          <t>UED9R43L46</t>
        </is>
      </c>
      <c r="I50" s="36">
        <f>IF(AND(A50="",C50=""),"",IF(C50="Payment Received",I49-IFERROR(G50,0),IF(C50="Monthly Rent Charge",I49+IFERROR(E50,0)+IFERROR(F50,0),I49)))</f>
        <v/>
      </c>
      <c r="J50" s="37" t="n"/>
    </row>
    <row r="51" ht="15" customHeight="1" s="62">
      <c r="A51" s="54">
        <f>IF(B51="","",DATE(YEAR(TODAY()),MATCH(B51,{"January","February","March","April","May","June","July","August","September","October","November","December"},0),1))</f>
        <v/>
      </c>
      <c r="B51" s="33" t="inlineStr">
        <is>
          <t>June</t>
        </is>
      </c>
      <c r="C51" s="34">
        <f>IF(B51="","","Monthly Rent Charge")</f>
        <v/>
      </c>
      <c r="D51" s="34" t="n"/>
      <c r="E51" s="35">
        <f>IF(C51="Monthly Rent Charge",$D$3,"")</f>
        <v/>
      </c>
      <c r="F51" s="35">
        <f>IF(C51="Monthly Rent Charge",$F$3,"")</f>
        <v/>
      </c>
      <c r="G51" s="41" t="n"/>
      <c r="H51" s="34" t="n"/>
      <c r="I51" s="36">
        <f>IF(AND(A51="",C51=""),"",IF(C51="Payment Received",I50-IFERROR(G51,0),IF(C51="Monthly Rent Charge",I50+IFERROR(E51,0)+IFERROR(F51,0),I50)))</f>
        <v/>
      </c>
      <c r="J51" s="37" t="n"/>
    </row>
    <row r="52" ht="15" customHeight="1" s="62">
      <c r="A52" s="54">
        <f>IF(B52="","",DATE(YEAR(TODAY()),MATCH(B52,{"January","February","March","April","May","June","July","August","September","October","November","December"},0),1))</f>
        <v/>
      </c>
      <c r="B52" s="33" t="inlineStr">
        <is>
          <t>July</t>
        </is>
      </c>
      <c r="C52" s="34">
        <f>IF(B52="","","Monthly Rent Charge")</f>
        <v/>
      </c>
      <c r="D52" s="34" t="n"/>
      <c r="E52" s="35">
        <f>IF(C52="Monthly Rent Charge",$D$3,"")</f>
        <v/>
      </c>
      <c r="F52" s="35">
        <f>IF(C52="Monthly Rent Charge",$F$3,"")</f>
        <v/>
      </c>
      <c r="G52" s="41" t="n"/>
      <c r="H52" s="34" t="n"/>
      <c r="I52" s="36">
        <f>IF(AND(A52="",C52=""),"",IF(C52="Payment Received",I51-IFERROR(G52,0),IF(C52="Monthly Rent Charge",I51+IFERROR(E52,0)+IFERROR(F52,0),I51)))</f>
        <v/>
      </c>
      <c r="J52" s="37" t="n"/>
    </row>
    <row r="53" ht="15" customHeight="1" s="62">
      <c r="A53" s="54" t="n">
        <v>46204</v>
      </c>
      <c r="B53" s="33" t="n"/>
      <c r="C53" s="34" t="inlineStr">
        <is>
          <t>Payment Received</t>
        </is>
      </c>
      <c r="D53" s="34" t="n"/>
      <c r="E53" s="35">
        <f>IF(C53="Monthly Rent Charge",$D$3,"")</f>
        <v/>
      </c>
      <c r="F53" s="35">
        <f>IF(C53="Monthly Rent Charge",$F$3,"")</f>
        <v/>
      </c>
      <c r="G53" s="41" t="n">
        <v>7700</v>
      </c>
      <c r="H53" s="34" t="inlineStr">
        <is>
          <t>UG19R9RBDD4</t>
        </is>
      </c>
      <c r="I53" s="36">
        <f>IF(AND(A53="",C53=""),"",IF(C53="Payment Received",I52-IFERROR(G53,0),IF(C53="Monthly Rent Charge",I52+IFERROR(E53,0)+IFERROR(F53,0),I52)))</f>
        <v/>
      </c>
      <c r="J53" s="37" t="n"/>
    </row>
    <row r="54" ht="15" customHeight="1" s="62">
      <c r="A54" s="54" t="n">
        <v>46229</v>
      </c>
      <c r="B54" s="33" t="inlineStr">
        <is>
          <t>July</t>
        </is>
      </c>
      <c r="C54" s="34" t="inlineStr">
        <is>
          <t>Payment Received</t>
        </is>
      </c>
      <c r="D54" s="34" t="n"/>
      <c r="E54" s="35">
        <f>IF(C54="Monthly Rent Charge",$D$3,"")</f>
        <v/>
      </c>
      <c r="F54" s="35">
        <f>IF(C54="Monthly Rent Charge",$F$3,"")</f>
        <v/>
      </c>
      <c r="G54" s="41" t="n">
        <v>7700</v>
      </c>
      <c r="H54" s="34" t="inlineStr">
        <is>
          <t>UGQ9R0O6HD</t>
        </is>
      </c>
      <c r="I54" s="36">
        <f>IF(AND(A54="",C54=""),"",IF(C54="Payment Received",I53-IFERROR(G54,0),IF(C54="Monthly Rent Charge",I53+IFERROR(E54,0)+IFERROR(F54,0),I53)))</f>
        <v/>
      </c>
      <c r="J54" s="37" t="n"/>
    </row>
    <row r="55" ht="15" customHeight="1" s="62">
      <c r="A55" s="54">
        <f>IF(B55="","",DATE(YEAR(TODAY()),MATCH(B55,{"January","February","March","April","May","June","July","August","September","October","November","December"},0),1))</f>
        <v/>
      </c>
      <c r="B55" s="33" t="inlineStr">
        <is>
          <t>August</t>
        </is>
      </c>
      <c r="C55" s="34" t="inlineStr">
        <is>
          <t>Monthly Rent Charge</t>
        </is>
      </c>
      <c r="D55" s="34" t="n"/>
      <c r="E55" s="35">
        <f>IF(C55="Monthly Rent Charge",$D$3,"")</f>
        <v/>
      </c>
      <c r="F55" s="35">
        <f>IF(C55="Monthly Rent Charge",$F$3,"")</f>
        <v/>
      </c>
      <c r="G55" s="41" t="n"/>
      <c r="H55" s="34" t="n"/>
      <c r="I55" s="36">
        <f>IF(AND(A55="",C55=""),"",IF(C55="Payment Received",I54-IFERROR(G55,0),IF(C55="Monthly Rent Charge",I54+IFERROR(E55,0)+IFERROR(F55,0),I54)))</f>
        <v/>
      </c>
      <c r="J55" s="37" t="n"/>
    </row>
    <row r="56" ht="15" customHeight="1" s="62">
      <c r="A56" s="54" t="n">
        <v>46244</v>
      </c>
      <c r="B56" s="33" t="n"/>
      <c r="C56" s="34" t="inlineStr">
        <is>
          <t>Payment Received</t>
        </is>
      </c>
      <c r="D56" s="34" t="n"/>
      <c r="E56" s="35">
        <f>IF(C56="Monthly Rent Charge",$D$3,"")</f>
        <v/>
      </c>
      <c r="F56" s="35">
        <f>IF(C56="Monthly Rent Charge",$F$3,"")</f>
        <v/>
      </c>
      <c r="G56" s="41" t="n">
        <v>8100</v>
      </c>
      <c r="H56" s="34" t="inlineStr">
        <is>
          <t>UHA9R2FE4U</t>
        </is>
      </c>
      <c r="I56" s="36">
        <f>IF(AND(A56="",C56=""),"",IF(C56="Payment Received",I55-IFERROR(G56,0),IF(C56="Monthly Rent Charge",I55+IFERROR(E56,0)+IFERROR(F56,0),I55)))</f>
        <v/>
      </c>
      <c r="J56" s="37" t="n"/>
    </row>
    <row r="57" ht="15" customHeight="1" s="62">
      <c r="A57" s="54" t="n">
        <v>46259</v>
      </c>
      <c r="B57" s="33" t="n"/>
      <c r="C57" s="34" t="inlineStr">
        <is>
          <t>Payment Received</t>
        </is>
      </c>
      <c r="D57" s="34" t="n"/>
      <c r="E57" s="35">
        <f>IF(C57="Monthly Rent Charge",$D$3,"")</f>
        <v/>
      </c>
      <c r="F57" s="35">
        <f>IF(C57="Monthly Rent Charge",$F$3,"")</f>
        <v/>
      </c>
      <c r="G57" s="41" t="n">
        <v>15000</v>
      </c>
      <c r="H57" s="34" t="inlineStr">
        <is>
          <t>UHP9R41XGC</t>
        </is>
      </c>
      <c r="I57" s="36">
        <f>IF(AND(A57="",C57=""),"",IF(C57="Payment Received",I56-IFERROR(G57,0),IF(C57="Monthly Rent Charge",I56+IFERROR(E57,0)+IFERROR(F57,0),I56)))</f>
        <v/>
      </c>
      <c r="J57" s="37" t="n"/>
    </row>
    <row r="58" ht="15" customHeight="1" s="62">
      <c r="A58" s="54">
        <f>IF(B58="","",DATE(YEAR(TODAY()),MATCH(B58,{"January","February","March","April","May","June","July","August","September","October","November","December"},0),1))</f>
        <v/>
      </c>
      <c r="B58" s="33" t="n"/>
      <c r="C58" s="34">
        <f>IF(B58="","","Monthly Rent Charge")</f>
        <v/>
      </c>
      <c r="D58" s="34" t="n"/>
      <c r="E58" s="35">
        <f>IF(C58="Monthly Rent Charge",$D$3,"")</f>
        <v/>
      </c>
      <c r="F58" s="35">
        <f>IF(C58="Monthly Rent Charge",$F$3,"")</f>
        <v/>
      </c>
      <c r="G58" s="41" t="n"/>
      <c r="H58" s="34" t="n"/>
      <c r="I58" s="36">
        <f>IF(AND(A58="",C58=""),"",IF(C58="Payment Received",I57-IFERROR(G58,0),IF(C58="Monthly Rent Charge",I57+IFERROR(E58,0)+IFERROR(F58,0),I57)))</f>
        <v/>
      </c>
      <c r="J58" s="37" t="n"/>
    </row>
    <row r="59" ht="15" customHeight="1" s="62">
      <c r="A59" s="54">
        <f>IF(B59="","",DATE(YEAR(TODAY()),MATCH(B59,{"January","February","March","April","May","June","July","August","September","October","November","December"},0),1))</f>
        <v/>
      </c>
      <c r="B59" s="33" t="n"/>
      <c r="C59" s="34">
        <f>IF(B59="","","Monthly Rent Charge")</f>
        <v/>
      </c>
      <c r="D59" s="34" t="n"/>
      <c r="E59" s="35">
        <f>IF(C59="Monthly Rent Charge",$D$3,"")</f>
        <v/>
      </c>
      <c r="F59" s="35">
        <f>IF(C59="Monthly Rent Charge",$F$3,"")</f>
        <v/>
      </c>
      <c r="G59" s="41" t="n"/>
      <c r="H59" s="34" t="n"/>
      <c r="I59" s="36">
        <f>IF(AND(A59="",C59=""),"",IF(C59="Payment Received",I58-IFERROR(G59,0),IF(C59="Monthly Rent Charge",I58+IFERROR(E59,0)+IFERROR(F59,0),I58)))</f>
        <v/>
      </c>
      <c r="J59" s="37" t="n"/>
    </row>
    <row r="60" ht="15" customHeight="1" s="62">
      <c r="A60" s="54">
        <f>IF(B60="","",DATE(YEAR(TODAY()),MATCH(B60,{"January","February","March","April","May","June","July","August","September","October","November","December"},0),1))</f>
        <v/>
      </c>
      <c r="B60" s="33" t="n"/>
      <c r="C60" s="34">
        <f>IF(B60="","","Monthly Rent Charge")</f>
        <v/>
      </c>
      <c r="D60" s="34" t="n"/>
      <c r="E60" s="35">
        <f>IF(C60="Monthly Rent Charge",$D$3,"")</f>
        <v/>
      </c>
      <c r="F60" s="35">
        <f>IF(C60="Monthly Rent Charge",$F$3,"")</f>
        <v/>
      </c>
      <c r="G60" s="41" t="n"/>
      <c r="H60" s="34" t="n"/>
      <c r="I60" s="36">
        <f>IF(AND(A60="",C60=""),"",IF(C60="Payment Received",I59-IFERROR(G60,0),IF(C60="Monthly Rent Charge",I59+IFERROR(E60,0)+IFERROR(F60,0),I59)))</f>
        <v/>
      </c>
      <c r="J60" s="37" t="n"/>
    </row>
    <row r="61" ht="15" customHeight="1" s="62">
      <c r="A61" s="54">
        <f>IF(B61="","",DATE(YEAR(TODAY()),MATCH(B61,{"January","February","March","April","May","June","July","August","September","October","November","December"},0),1))</f>
        <v/>
      </c>
      <c r="B61" s="33" t="n"/>
      <c r="C61" s="34">
        <f>IF(B61="","","Monthly Rent Charge")</f>
        <v/>
      </c>
      <c r="D61" s="34" t="n"/>
      <c r="E61" s="35">
        <f>IF(C61="Monthly Rent Charge",$D$3,"")</f>
        <v/>
      </c>
      <c r="F61" s="35">
        <f>IF(C61="Monthly Rent Charge",$F$3,"")</f>
        <v/>
      </c>
      <c r="G61" s="41" t="n"/>
      <c r="H61" s="34" t="n"/>
      <c r="I61" s="36">
        <f>IF(AND(A61="",C61=""),"",IF(C61="Payment Received",I60-IFERROR(G61,0),IF(C61="Monthly Rent Charge",I60+IFERROR(E61,0)+IFERROR(F61,0),I60)))</f>
        <v/>
      </c>
      <c r="J61" s="37" t="n"/>
    </row>
    <row r="62" ht="15" customHeight="1" s="62">
      <c r="A62" s="54">
        <f>IF(B62="","",DATE(YEAR(TODAY()),MATCH(B62,{"January","February","March","April","May","June","July","August","September","October","November","December"},0),1))</f>
        <v/>
      </c>
      <c r="B62" s="33" t="n"/>
      <c r="C62" s="34">
        <f>IF(B62="","","Monthly Rent Charge")</f>
        <v/>
      </c>
      <c r="D62" s="34" t="n"/>
      <c r="E62" s="35">
        <f>IF(C62="Monthly Rent Charge",$D$3,"")</f>
        <v/>
      </c>
      <c r="F62" s="35">
        <f>IF(C62="Monthly Rent Charge",$F$3,"")</f>
        <v/>
      </c>
      <c r="G62" s="41" t="n"/>
      <c r="H62" s="34" t="n"/>
      <c r="I62" s="36">
        <f>IF(AND(A62="",C62=""),"",IF(C62="Payment Received",I61-IFERROR(G62,0),IF(C62="Monthly Rent Charge",I61+IFERROR(E62,0)+IFERROR(F62,0),I61)))</f>
        <v/>
      </c>
      <c r="J62" s="37" t="n"/>
    </row>
    <row r="63" ht="15" customHeight="1" s="62">
      <c r="A63" s="54">
        <f>IF(B63="","",DATE(YEAR(TODAY()),MATCH(B63,{"January","February","March","April","May","June","July","August","September","October","November","December"},0),1))</f>
        <v/>
      </c>
      <c r="B63" s="33" t="n"/>
      <c r="C63" s="34">
        <f>IF(B63="","","Monthly Rent Charge")</f>
        <v/>
      </c>
      <c r="D63" s="34" t="n"/>
      <c r="E63" s="35">
        <f>IF(C63="Monthly Rent Charge",$D$3,"")</f>
        <v/>
      </c>
      <c r="F63" s="35">
        <f>IF(C63="Monthly Rent Charge",$F$3,"")</f>
        <v/>
      </c>
      <c r="G63" s="41" t="n"/>
      <c r="H63" s="34" t="n"/>
      <c r="I63" s="36">
        <f>IF(AND(A63="",C63=""),"",IF(C63="Payment Received",I62-IFERROR(G63,0),IF(C63="Monthly Rent Charge",I62+IFERROR(E63,0)+IFERROR(F63,0),I62)))</f>
        <v/>
      </c>
      <c r="J63" s="37" t="n"/>
    </row>
    <row r="64" ht="15" customHeight="1" s="62">
      <c r="A64" s="54">
        <f>IF(B64="","",DATE(YEAR(TODAY()),MATCH(B64,{"January","February","March","April","May","June","July","August","September","October","November","December"},0),1))</f>
        <v/>
      </c>
      <c r="B64" s="33" t="n"/>
      <c r="C64" s="34">
        <f>IF(B64="","","Monthly Rent Charge")</f>
        <v/>
      </c>
      <c r="D64" s="34" t="n"/>
      <c r="E64" s="35">
        <f>IF(C64="Monthly Rent Charge",$D$3,"")</f>
        <v/>
      </c>
      <c r="F64" s="35">
        <f>IF(C64="Monthly Rent Charge",$F$3,"")</f>
        <v/>
      </c>
      <c r="G64" s="41" t="n"/>
      <c r="H64" s="34" t="n"/>
      <c r="I64" s="36">
        <f>IF(AND(A64="",C64=""),"",IF(C64="Payment Received",I63-IFERROR(G64,0),IF(C64="Monthly Rent Charge",I63+IFERROR(E64,0)+IFERROR(F64,0),IFERROR(I63,0))))</f>
        <v/>
      </c>
      <c r="J64" s="37" t="n"/>
    </row>
    <row r="65" ht="15" customHeight="1" s="62">
      <c r="A65" s="54">
        <f>IF(B65="","",DATE(YEAR(TODAY()),MATCH(B65,{"January","February","March","April","May","June","July","August","September","October","November","December"},0),1))</f>
        <v/>
      </c>
      <c r="B65" s="33" t="n"/>
      <c r="C65" s="34">
        <f>IF(B65="","","Monthly Rent Charge")</f>
        <v/>
      </c>
      <c r="D65" s="34" t="n"/>
      <c r="E65" s="35">
        <f>IF(C65="Monthly Rent Charge",$D$3,"")</f>
        <v/>
      </c>
      <c r="F65" s="35">
        <f>IF(C65="Monthly Rent Charge",$F$3,"")</f>
        <v/>
      </c>
      <c r="G65" s="41" t="n"/>
      <c r="H65" s="34" t="n"/>
      <c r="I65" s="36">
        <f>IF(AND(A65="",C65=""),"",IF(C65="Payment Received",I64-IFERROR(G65,0),IF(C65="Monthly Rent Charge",I64+IFERROR(E65,0)+IFERROR(F65,0),IFERROR(I64,0))))</f>
        <v/>
      </c>
      <c r="J65" s="37" t="n"/>
    </row>
    <row r="66" ht="15" customHeight="1" s="62">
      <c r="A66" s="54">
        <f>IF(B66="","",DATE(YEAR(TODAY()),MATCH(B66,{"January","February","March","April","May","June","July","August","September","October","November","December"},0),1))</f>
        <v/>
      </c>
      <c r="B66" s="33" t="n"/>
      <c r="C66" s="34">
        <f>IF(B66="","","Monthly Rent Charge")</f>
        <v/>
      </c>
      <c r="D66" s="34" t="n"/>
      <c r="E66" s="35">
        <f>IF(C66="Monthly Rent Charge",$D$3,"")</f>
        <v/>
      </c>
      <c r="F66" s="35">
        <f>IF(C66="Monthly Rent Charge",$F$3,"")</f>
        <v/>
      </c>
      <c r="G66" s="41" t="n"/>
      <c r="H66" s="34" t="n"/>
      <c r="I66" s="36">
        <f>IF(AND(A66="",C66=""),"",IF(C66="Payment Received",I65-IFERROR(G66,0),IF(C66="Monthly Rent Charge",I65+IFERROR(E66,0)+IFERROR(F66,0),IFERROR(I65,0))))</f>
        <v/>
      </c>
      <c r="J66" s="37" t="n"/>
    </row>
    <row r="67" ht="15" customHeight="1" s="62">
      <c r="A67" s="54">
        <f>IF(B67="","",DATE(YEAR(TODAY()),MATCH(B67,{"January","February","March","April","May","June","July","August","September","October","November","December"},0),1))</f>
        <v/>
      </c>
      <c r="B67" s="33" t="n"/>
      <c r="C67" s="34">
        <f>IF(B67="","","Monthly Rent Charge")</f>
        <v/>
      </c>
      <c r="D67" s="34" t="n"/>
      <c r="E67" s="35">
        <f>IF(C67="Monthly Rent Charge",$D$3,"")</f>
        <v/>
      </c>
      <c r="F67" s="35">
        <f>IF(C67="Monthly Rent Charge",$F$3,"")</f>
        <v/>
      </c>
      <c r="G67" s="41" t="n"/>
      <c r="H67" s="34" t="n"/>
      <c r="I67" s="36">
        <f>IF(AND(A67="",C67=""),"",IF(C67="Payment Received",I66-IFERROR(G67,0),IF(C67="Monthly Rent Charge",I66+IFERROR(E67,0)+IFERROR(F67,0),IFERROR(I66,0))))</f>
        <v/>
      </c>
      <c r="J67" s="37" t="n"/>
    </row>
    <row r="68" ht="15" customHeight="1" s="62">
      <c r="A68" s="54" t="n"/>
      <c r="B68" s="33" t="n"/>
      <c r="C68" s="34" t="n"/>
      <c r="D68" s="34" t="n"/>
      <c r="E68" s="35" t="n"/>
      <c r="F68" s="35" t="n"/>
      <c r="G68" s="41" t="n"/>
      <c r="H68" s="34" t="n"/>
      <c r="I68" s="36" t="n"/>
      <c r="J68" s="37" t="n"/>
    </row>
    <row r="69" ht="15" customHeight="1" s="62">
      <c r="A69" s="54" t="n"/>
      <c r="B69" s="33" t="n"/>
      <c r="C69" s="34" t="n"/>
      <c r="D69" s="34" t="n"/>
      <c r="E69" s="35" t="n"/>
      <c r="F69" s="35" t="n"/>
      <c r="G69" s="41" t="n"/>
      <c r="H69" s="34" t="n"/>
      <c r="I69" s="36" t="n"/>
      <c r="J69" s="37" t="n"/>
    </row>
    <row r="70" ht="15" customHeight="1" s="62">
      <c r="A70" s="54" t="n"/>
      <c r="B70" s="33" t="n"/>
      <c r="C70" s="34" t="n"/>
      <c r="D70" s="34" t="n"/>
      <c r="E70" s="35" t="n"/>
      <c r="F70" s="35" t="n"/>
      <c r="G70" s="41" t="n"/>
      <c r="H70" s="34" t="n"/>
      <c r="I70" s="36" t="n"/>
      <c r="J70" s="37" t="n"/>
    </row>
    <row r="71" ht="15" customHeight="1" s="62">
      <c r="A71" s="54" t="n"/>
      <c r="B71" s="33" t="n"/>
      <c r="C71" s="34" t="n"/>
      <c r="D71" s="34" t="n"/>
      <c r="E71" s="35" t="n"/>
      <c r="F71" s="35" t="n"/>
      <c r="G71" s="41" t="n"/>
      <c r="H71" s="34" t="n"/>
      <c r="I71" s="36" t="n"/>
      <c r="J71" s="37" t="n"/>
    </row>
    <row r="72" ht="15" customHeight="1" s="62">
      <c r="A72" s="54" t="n"/>
      <c r="B72" s="33" t="n"/>
      <c r="C72" s="34" t="n"/>
      <c r="D72" s="34" t="n"/>
      <c r="E72" s="35" t="n"/>
      <c r="F72" s="35" t="n"/>
      <c r="G72" s="41" t="n"/>
      <c r="H72" s="34" t="n"/>
      <c r="I72" s="36" t="n"/>
      <c r="J72" s="37" t="n"/>
    </row>
    <row r="73" ht="15" customHeight="1" s="62">
      <c r="A73" s="54" t="n"/>
      <c r="B73" s="33" t="n"/>
      <c r="C73" s="34" t="n"/>
      <c r="D73" s="34" t="n"/>
      <c r="E73" s="35" t="n"/>
      <c r="F73" s="35" t="n"/>
      <c r="G73" s="41" t="n"/>
      <c r="H73" s="34" t="n"/>
      <c r="I73" s="36" t="n"/>
      <c r="J73" s="37" t="n"/>
    </row>
    <row r="74" ht="15" customHeight="1" s="62">
      <c r="A74" s="54" t="n"/>
      <c r="B74" s="33" t="n"/>
      <c r="C74" s="34" t="n"/>
      <c r="D74" s="34" t="n"/>
      <c r="E74" s="35" t="n"/>
      <c r="F74" s="35" t="n"/>
      <c r="G74" s="41" t="n"/>
      <c r="H74" s="34" t="n"/>
      <c r="I74" s="36" t="n"/>
      <c r="J74" s="37" t="n"/>
    </row>
    <row r="75" ht="15" customHeight="1" s="62">
      <c r="A75" s="54" t="n"/>
      <c r="B75" s="33" t="n"/>
      <c r="C75" s="34" t="n"/>
      <c r="D75" s="34" t="n"/>
      <c r="E75" s="35" t="n"/>
      <c r="F75" s="35" t="n"/>
      <c r="G75" s="41" t="n"/>
      <c r="H75" s="34" t="n"/>
      <c r="I75" s="36" t="n"/>
      <c r="J75" s="37" t="n"/>
    </row>
    <row r="76" ht="15" customHeight="1" s="62">
      <c r="A76" s="54" t="n"/>
      <c r="B76" s="33" t="n"/>
      <c r="C76" s="34" t="n"/>
      <c r="D76" s="34" t="n"/>
      <c r="E76" s="35" t="n"/>
      <c r="F76" s="35" t="n"/>
      <c r="G76" s="41" t="n"/>
      <c r="H76" s="34" t="n"/>
      <c r="I76" s="36" t="n"/>
      <c r="J76" s="37" t="n"/>
    </row>
    <row r="77" ht="15" customHeight="1" s="62">
      <c r="A77" s="54" t="n"/>
      <c r="B77" s="33" t="n"/>
      <c r="C77" s="34" t="n"/>
      <c r="D77" s="34" t="n"/>
      <c r="E77" s="35" t="n"/>
      <c r="F77" s="35" t="n"/>
      <c r="G77" s="41" t="n"/>
      <c r="H77" s="34" t="n"/>
      <c r="I77" s="36" t="n"/>
      <c r="J77" s="37" t="n"/>
    </row>
    <row r="78" ht="15" customHeight="1" s="62">
      <c r="A78" s="54" t="n"/>
      <c r="B78" s="33" t="n"/>
      <c r="C78" s="34" t="n"/>
      <c r="D78" s="34" t="n"/>
      <c r="E78" s="35" t="n"/>
      <c r="F78" s="35" t="n"/>
      <c r="G78" s="41" t="n"/>
      <c r="H78" s="34" t="n"/>
      <c r="I78" s="36" t="n"/>
      <c r="J78" s="37" t="n"/>
    </row>
    <row r="79" ht="15" customHeight="1" s="62">
      <c r="A79" s="54" t="n"/>
      <c r="B79" s="33" t="n"/>
      <c r="C79" s="34" t="n"/>
      <c r="D79" s="34" t="n"/>
      <c r="E79" s="35" t="n"/>
      <c r="F79" s="35" t="n"/>
      <c r="G79" s="41" t="n"/>
      <c r="H79" s="34" t="n"/>
      <c r="I79" s="36" t="n"/>
      <c r="J79" s="37" t="n"/>
    </row>
    <row r="80" ht="15" customHeight="1" s="62">
      <c r="A80" s="54" t="n"/>
      <c r="B80" s="33" t="n"/>
      <c r="C80" s="34" t="n"/>
      <c r="D80" s="34" t="n"/>
      <c r="E80" s="35" t="n"/>
      <c r="F80" s="35" t="n"/>
      <c r="G80" s="41" t="n"/>
      <c r="H80" s="34" t="n"/>
      <c r="I80" s="36" t="n"/>
      <c r="J80" s="37" t="n"/>
    </row>
    <row r="81" ht="15" customHeight="1" s="62">
      <c r="A81" s="54" t="n"/>
      <c r="B81" s="33" t="n"/>
      <c r="C81" s="34" t="n"/>
      <c r="D81" s="34" t="n"/>
      <c r="E81" s="35" t="n"/>
      <c r="F81" s="35" t="n"/>
      <c r="G81" s="41" t="n"/>
      <c r="H81" s="34" t="n"/>
      <c r="I81" s="36" t="n"/>
      <c r="J81" s="37" t="n"/>
    </row>
    <row r="82" ht="15" customHeight="1" s="62">
      <c r="A82" s="54" t="n"/>
      <c r="B82" s="33" t="n"/>
      <c r="C82" s="34" t="n"/>
      <c r="D82" s="34" t="n"/>
      <c r="E82" s="35" t="n"/>
      <c r="F82" s="35" t="n"/>
      <c r="G82" s="41" t="n"/>
      <c r="H82" s="34" t="n"/>
      <c r="I82" s="36" t="n"/>
      <c r="J82" s="37" t="n"/>
    </row>
    <row r="83" ht="15" customHeight="1" s="62">
      <c r="A83" s="54" t="n"/>
      <c r="B83" s="33" t="n"/>
      <c r="C83" s="34" t="n"/>
      <c r="D83" s="34" t="n"/>
      <c r="E83" s="35" t="n"/>
      <c r="F83" s="35" t="n"/>
      <c r="G83" s="41" t="n"/>
      <c r="H83" s="34" t="n"/>
      <c r="I83" s="36" t="n"/>
      <c r="J83" s="37" t="n"/>
    </row>
    <row r="84" ht="15" customHeight="1" s="62">
      <c r="A84" s="54" t="n"/>
      <c r="B84" s="33" t="n"/>
      <c r="C84" s="34" t="n"/>
      <c r="D84" s="34" t="n"/>
      <c r="E84" s="35" t="n"/>
      <c r="F84" s="35" t="n"/>
      <c r="G84" s="41" t="n"/>
      <c r="H84" s="34" t="n"/>
      <c r="I84" s="36" t="n"/>
      <c r="J84" s="37" t="n"/>
    </row>
    <row r="85" ht="15" customHeight="1" s="62">
      <c r="A85" s="54" t="n"/>
      <c r="B85" s="33" t="n"/>
      <c r="C85" s="34" t="n"/>
      <c r="D85" s="34" t="n"/>
      <c r="E85" s="35" t="n"/>
      <c r="F85" s="35" t="n"/>
      <c r="G85" s="41" t="n"/>
      <c r="H85" s="34" t="n"/>
      <c r="I85" s="36" t="n"/>
      <c r="J85" s="37" t="n"/>
    </row>
    <row r="86" ht="15" customHeight="1" s="62">
      <c r="A86" s="54" t="n"/>
      <c r="B86" s="33" t="n"/>
      <c r="C86" s="34" t="n"/>
      <c r="D86" s="34" t="n"/>
      <c r="E86" s="35" t="n"/>
      <c r="F86" s="35" t="n"/>
      <c r="G86" s="41" t="n"/>
      <c r="H86" s="34" t="n"/>
      <c r="I86" s="36" t="n"/>
      <c r="J86" s="37" t="n"/>
    </row>
    <row r="87" ht="15" customHeight="1" s="62">
      <c r="A87" s="54" t="n"/>
      <c r="B87" s="33" t="n"/>
      <c r="C87" s="34" t="n"/>
      <c r="D87" s="34" t="n"/>
      <c r="E87" s="35" t="n"/>
      <c r="F87" s="35" t="n"/>
      <c r="G87" s="41" t="n"/>
      <c r="H87" s="34" t="n"/>
      <c r="I87" s="36" t="n"/>
      <c r="J87" s="37" t="n"/>
    </row>
    <row r="88" ht="15" customHeight="1" s="62">
      <c r="A88" s="54" t="n"/>
      <c r="B88" s="33" t="n"/>
      <c r="C88" s="34" t="n"/>
      <c r="D88" s="34" t="n"/>
      <c r="E88" s="35" t="n"/>
      <c r="F88" s="35" t="n"/>
      <c r="G88" s="41" t="n"/>
      <c r="H88" s="34" t="n"/>
      <c r="I88" s="36" t="n"/>
      <c r="J88" s="37" t="n"/>
    </row>
    <row r="89" ht="15" customHeight="1" s="62">
      <c r="A89" s="54" t="n"/>
      <c r="B89" s="33" t="n"/>
      <c r="C89" s="34" t="n"/>
      <c r="D89" s="34" t="n"/>
      <c r="E89" s="35" t="n"/>
      <c r="F89" s="35" t="n"/>
      <c r="G89" s="41" t="n"/>
      <c r="H89" s="34" t="n"/>
      <c r="I89" s="36" t="n"/>
      <c r="J89" s="37" t="n"/>
    </row>
    <row r="90" ht="15" customHeight="1" s="62">
      <c r="A90" s="54" t="n"/>
      <c r="B90" s="33" t="n"/>
      <c r="C90" s="34" t="n"/>
      <c r="D90" s="34" t="n"/>
      <c r="E90" s="35" t="n"/>
      <c r="F90" s="35" t="n"/>
      <c r="G90" s="41" t="n"/>
      <c r="H90" s="34" t="n"/>
      <c r="I90" s="36" t="n"/>
      <c r="J90" s="37" t="n"/>
    </row>
    <row r="91" ht="15" customHeight="1" s="62">
      <c r="A91" s="54" t="n"/>
      <c r="B91" s="33" t="n"/>
      <c r="C91" s="34" t="n"/>
      <c r="D91" s="34" t="n"/>
      <c r="E91" s="35" t="n"/>
      <c r="F91" s="35" t="n"/>
      <c r="G91" s="41" t="n"/>
      <c r="H91" s="34" t="n"/>
      <c r="I91" s="36" t="n"/>
      <c r="J91" s="37" t="n"/>
    </row>
    <row r="92" ht="15" customHeight="1" s="62">
      <c r="A92" s="54" t="n"/>
      <c r="B92" s="33" t="n"/>
      <c r="C92" s="34" t="n"/>
      <c r="D92" s="34" t="n"/>
      <c r="E92" s="35" t="n"/>
      <c r="F92" s="35" t="n"/>
      <c r="G92" s="41" t="n"/>
      <c r="H92" s="34" t="n"/>
      <c r="I92" s="36" t="n"/>
      <c r="J92" s="37" t="n"/>
    </row>
    <row r="93" ht="15" customHeight="1" s="62">
      <c r="A93" s="54" t="n"/>
      <c r="B93" s="33" t="n"/>
      <c r="C93" s="34" t="n"/>
      <c r="D93" s="34" t="n"/>
      <c r="E93" s="35" t="n"/>
      <c r="F93" s="35" t="n"/>
      <c r="G93" s="41" t="n"/>
      <c r="H93" s="34" t="n"/>
      <c r="I93" s="36" t="n"/>
      <c r="J93" s="37" t="n"/>
    </row>
    <row r="94" ht="15" customHeight="1" s="62">
      <c r="A94" s="54" t="n"/>
      <c r="B94" s="33" t="n"/>
      <c r="C94" s="34" t="n"/>
      <c r="D94" s="34" t="n"/>
      <c r="E94" s="35" t="n"/>
      <c r="F94" s="35" t="n"/>
      <c r="G94" s="41" t="n"/>
      <c r="H94" s="34" t="n"/>
      <c r="I94" s="36" t="n"/>
      <c r="J94" s="37" t="n"/>
    </row>
    <row r="95" ht="15" customHeight="1" s="62">
      <c r="A95" s="54" t="n"/>
      <c r="B95" s="33" t="n"/>
      <c r="C95" s="34" t="n"/>
      <c r="D95" s="34" t="n"/>
      <c r="E95" s="35" t="n"/>
      <c r="F95" s="35" t="n"/>
      <c r="G95" s="41" t="n"/>
      <c r="H95" s="34" t="n"/>
      <c r="I95" s="36" t="n"/>
      <c r="J95" s="37" t="n"/>
    </row>
    <row r="96" ht="15" customHeight="1" s="62">
      <c r="A96" s="54" t="n"/>
      <c r="B96" s="33" t="n"/>
      <c r="C96" s="34" t="n"/>
      <c r="D96" s="34" t="n"/>
      <c r="E96" s="35" t="n"/>
      <c r="F96" s="35" t="n"/>
      <c r="G96" s="41" t="n"/>
      <c r="H96" s="34" t="n"/>
      <c r="I96" s="36" t="n"/>
      <c r="J96" s="37" t="n"/>
    </row>
    <row r="97" ht="15" customHeight="1" s="62">
      <c r="A97" s="54" t="n"/>
      <c r="B97" s="33" t="n"/>
      <c r="C97" s="34" t="n"/>
      <c r="D97" s="34" t="n"/>
      <c r="E97" s="35" t="n"/>
      <c r="F97" s="35" t="n"/>
      <c r="G97" s="41" t="n"/>
      <c r="H97" s="34" t="n"/>
      <c r="I97" s="36" t="n"/>
      <c r="J97" s="37" t="n"/>
    </row>
    <row r="98" ht="15" customHeight="1" s="62">
      <c r="A98" s="54" t="n"/>
      <c r="B98" s="33" t="n"/>
      <c r="C98" s="34" t="n"/>
      <c r="D98" s="34" t="n"/>
      <c r="E98" s="35" t="n"/>
      <c r="F98" s="35" t="n"/>
      <c r="G98" s="41" t="n"/>
      <c r="H98" s="34" t="n"/>
      <c r="I98" s="36" t="n"/>
      <c r="J98" s="37" t="n"/>
    </row>
    <row r="99" ht="15" customHeight="1" s="62">
      <c r="A99" s="54" t="n"/>
      <c r="B99" s="33" t="n"/>
      <c r="C99" s="34" t="n"/>
      <c r="D99" s="34" t="n"/>
      <c r="E99" s="35" t="n"/>
      <c r="F99" s="35" t="n"/>
      <c r="G99" s="41" t="n"/>
      <c r="H99" s="34" t="n"/>
      <c r="I99" s="36" t="n"/>
      <c r="J99" s="37" t="n"/>
    </row>
    <row r="100" ht="15" customHeight="1" s="62">
      <c r="A100" s="54" t="n"/>
      <c r="B100" s="33" t="n"/>
      <c r="C100" s="34" t="n"/>
      <c r="D100" s="34" t="n"/>
      <c r="E100" s="35" t="n"/>
      <c r="F100" s="35" t="n"/>
      <c r="G100" s="41" t="n"/>
      <c r="H100" s="34" t="n"/>
      <c r="I100" s="36" t="n"/>
      <c r="J100" s="37" t="n"/>
    </row>
    <row r="101" ht="15" customHeight="1" s="62">
      <c r="A101" s="54" t="n"/>
      <c r="B101" s="33" t="n"/>
      <c r="C101" s="34" t="n"/>
      <c r="D101" s="34" t="n"/>
      <c r="E101" s="35" t="n"/>
      <c r="F101" s="35" t="n"/>
      <c r="G101" s="41" t="n"/>
      <c r="H101" s="34" t="n"/>
      <c r="I101" s="36" t="n"/>
      <c r="J101" s="37" t="n"/>
    </row>
    <row r="102" ht="15" customHeight="1" s="62">
      <c r="A102" s="54" t="n"/>
      <c r="B102" s="33" t="n"/>
      <c r="C102" s="34" t="n"/>
      <c r="D102" s="34" t="n"/>
      <c r="E102" s="35" t="n"/>
      <c r="F102" s="35" t="n"/>
      <c r="G102" s="41" t="n"/>
      <c r="H102" s="34" t="n"/>
      <c r="I102" s="36" t="n"/>
      <c r="J102" s="37" t="n"/>
    </row>
    <row r="103" ht="15" customHeight="1" s="62">
      <c r="A103" s="54" t="n"/>
      <c r="B103" s="33" t="n"/>
      <c r="C103" s="34" t="n"/>
      <c r="D103" s="34" t="n"/>
      <c r="E103" s="35" t="n"/>
      <c r="F103" s="35" t="n"/>
      <c r="G103" s="41" t="n"/>
      <c r="H103" s="34" t="n"/>
      <c r="I103" s="36" t="n"/>
      <c r="J103" s="37" t="n"/>
    </row>
    <row r="104" ht="15" customHeight="1" s="62">
      <c r="A104" s="54" t="n"/>
      <c r="B104" s="33" t="n"/>
      <c r="C104" s="34" t="n"/>
      <c r="D104" s="34" t="n"/>
      <c r="E104" s="35" t="n"/>
      <c r="F104" s="35" t="n"/>
      <c r="G104" s="41" t="n"/>
      <c r="H104" s="34" t="n"/>
      <c r="I104" s="36" t="n"/>
      <c r="J104" s="37" t="n"/>
    </row>
    <row r="105" ht="15" customHeight="1" s="62">
      <c r="A105" s="54" t="n"/>
      <c r="B105" s="33" t="n"/>
      <c r="C105" s="34" t="n"/>
      <c r="D105" s="34" t="n"/>
      <c r="E105" s="35" t="n"/>
      <c r="F105" s="35" t="n"/>
      <c r="G105" s="41" t="n"/>
      <c r="H105" s="34" t="n"/>
      <c r="I105" s="36" t="n"/>
      <c r="J105" s="37" t="n"/>
    </row>
    <row r="106" ht="15" customHeight="1" s="62">
      <c r="A106" s="54" t="n"/>
      <c r="B106" s="33" t="n"/>
      <c r="C106" s="34" t="n"/>
      <c r="D106" s="34" t="n"/>
      <c r="E106" s="35" t="n"/>
      <c r="F106" s="35" t="n"/>
      <c r="G106" s="41" t="n"/>
      <c r="H106" s="34" t="n"/>
      <c r="I106" s="36" t="n"/>
      <c r="J106" s="37" t="n"/>
    </row>
    <row r="107" ht="15" customHeight="1" s="62">
      <c r="A107" s="54" t="n"/>
      <c r="B107" s="33" t="n"/>
      <c r="C107" s="34" t="n"/>
      <c r="D107" s="34" t="n"/>
      <c r="E107" s="35" t="n"/>
      <c r="F107" s="35" t="n"/>
      <c r="G107" s="41" t="n"/>
      <c r="H107" s="34" t="n"/>
      <c r="I107" s="36" t="n"/>
      <c r="J107" s="37" t="n"/>
    </row>
    <row r="108" ht="15" customHeight="1" s="62">
      <c r="A108" s="54" t="n"/>
      <c r="B108" s="33" t="n"/>
      <c r="C108" s="34" t="n"/>
      <c r="D108" s="34" t="n"/>
      <c r="E108" s="35" t="n"/>
      <c r="F108" s="35" t="n"/>
      <c r="G108" s="41" t="n"/>
      <c r="H108" s="34" t="n"/>
      <c r="I108" s="36" t="n"/>
      <c r="J108" s="37" t="n"/>
    </row>
    <row r="109" ht="15" customHeight="1" s="62">
      <c r="A109" s="54" t="n"/>
      <c r="B109" s="33" t="n"/>
      <c r="C109" s="34" t="n"/>
      <c r="D109" s="34" t="n"/>
      <c r="E109" s="35" t="n"/>
      <c r="F109" s="35" t="n"/>
      <c r="G109" s="41" t="n"/>
      <c r="H109" s="34" t="n"/>
      <c r="I109" s="36" t="n"/>
      <c r="J109" s="37" t="n"/>
    </row>
    <row r="110" ht="15" customHeight="1" s="62">
      <c r="A110" s="54" t="n"/>
      <c r="B110" s="33" t="n"/>
      <c r="C110" s="34" t="n"/>
      <c r="D110" s="34" t="n"/>
      <c r="E110" s="35" t="n"/>
      <c r="F110" s="35" t="n"/>
      <c r="G110" s="41" t="n"/>
      <c r="H110" s="34" t="n"/>
      <c r="I110" s="36" t="n"/>
      <c r="J110" s="37" t="n"/>
    </row>
    <row r="111" ht="15" customHeight="1" s="62">
      <c r="A111" s="54" t="n"/>
      <c r="B111" s="33" t="n"/>
      <c r="C111" s="34" t="n"/>
      <c r="D111" s="34" t="n"/>
      <c r="E111" s="35" t="n"/>
      <c r="F111" s="35" t="n"/>
      <c r="G111" s="41" t="n"/>
      <c r="H111" s="34" t="n"/>
      <c r="I111" s="36" t="n"/>
      <c r="J111" s="37" t="n"/>
    </row>
    <row r="112" ht="15" customHeight="1" s="62">
      <c r="A112" s="54" t="n"/>
      <c r="B112" s="33" t="n"/>
      <c r="C112" s="34" t="n"/>
      <c r="D112" s="34" t="n"/>
      <c r="E112" s="35" t="n"/>
      <c r="F112" s="35" t="n"/>
      <c r="G112" s="41" t="n"/>
      <c r="H112" s="34" t="n"/>
      <c r="I112" s="36" t="n"/>
      <c r="J112" s="37" t="n"/>
    </row>
    <row r="113" ht="15" customHeight="1" s="62">
      <c r="A113" s="54" t="n"/>
      <c r="B113" s="33" t="n"/>
      <c r="C113" s="34" t="n"/>
      <c r="D113" s="34" t="n"/>
      <c r="E113" s="35" t="n"/>
      <c r="F113" s="35" t="n"/>
      <c r="G113" s="41" t="n"/>
      <c r="H113" s="34" t="n"/>
      <c r="I113" s="36" t="n"/>
      <c r="J113" s="37" t="n"/>
    </row>
    <row r="114" ht="15" customHeight="1" s="62">
      <c r="A114" s="54" t="n"/>
      <c r="B114" s="33" t="n"/>
      <c r="C114" s="34" t="n"/>
      <c r="D114" s="34" t="n"/>
      <c r="E114" s="35" t="n"/>
      <c r="F114" s="35" t="n"/>
      <c r="G114" s="41" t="n"/>
      <c r="H114" s="34" t="n"/>
      <c r="I114" s="36" t="n"/>
      <c r="J114" s="37" t="n"/>
    </row>
    <row r="115" ht="15" customHeight="1" s="62">
      <c r="A115" s="54" t="n"/>
      <c r="B115" s="33" t="n"/>
      <c r="C115" s="34" t="n"/>
      <c r="D115" s="34" t="n"/>
      <c r="E115" s="35" t="n"/>
      <c r="F115" s="35" t="n"/>
      <c r="G115" s="41" t="n"/>
      <c r="H115" s="34" t="n"/>
      <c r="I115" s="36" t="n"/>
      <c r="J115" s="37" t="n"/>
    </row>
    <row r="116" ht="15" customHeight="1" s="62">
      <c r="A116" s="54" t="n"/>
      <c r="B116" s="33" t="n"/>
      <c r="C116" s="34" t="n"/>
      <c r="D116" s="34" t="n"/>
      <c r="E116" s="35" t="n"/>
      <c r="F116" s="35" t="n"/>
      <c r="G116" s="41" t="n"/>
      <c r="H116" s="34" t="n"/>
      <c r="I116" s="36" t="n"/>
      <c r="J116" s="37" t="n"/>
    </row>
    <row r="117" ht="15" customHeight="1" s="62">
      <c r="A117" s="54" t="n"/>
      <c r="B117" s="33" t="n"/>
      <c r="C117" s="34" t="n"/>
      <c r="D117" s="34" t="n"/>
      <c r="E117" s="35" t="n"/>
      <c r="F117" s="35" t="n"/>
      <c r="G117" s="41" t="n"/>
      <c r="H117" s="34" t="n"/>
      <c r="I117" s="36" t="n"/>
      <c r="J117" s="37" t="n"/>
    </row>
    <row r="118" ht="15" customHeight="1" s="62">
      <c r="A118" s="54" t="n"/>
      <c r="B118" s="33" t="n"/>
      <c r="C118" s="34" t="n"/>
      <c r="D118" s="34" t="n"/>
      <c r="E118" s="35" t="n"/>
      <c r="F118" s="35" t="n"/>
      <c r="G118" s="41" t="n"/>
      <c r="H118" s="34" t="n"/>
      <c r="I118" s="36" t="n"/>
      <c r="J118" s="37" t="n"/>
    </row>
    <row r="119" ht="15" customHeight="1" s="62">
      <c r="A119" s="54" t="n"/>
      <c r="B119" s="33" t="n"/>
      <c r="C119" s="34" t="n"/>
      <c r="D119" s="34" t="n"/>
      <c r="E119" s="35" t="n"/>
      <c r="F119" s="35" t="n"/>
      <c r="G119" s="41" t="n"/>
      <c r="H119" s="34" t="n"/>
      <c r="I119" s="36" t="n"/>
      <c r="J119" s="37" t="n"/>
    </row>
    <row r="120" ht="15" customHeight="1" s="62">
      <c r="A120" s="54" t="n"/>
      <c r="B120" s="33" t="n"/>
      <c r="C120" s="34" t="n"/>
      <c r="D120" s="34" t="n"/>
      <c r="E120" s="35" t="n"/>
      <c r="F120" s="35" t="n"/>
      <c r="G120" s="41" t="n"/>
      <c r="H120" s="34" t="n"/>
      <c r="I120" s="36" t="n"/>
      <c r="J120" s="37" t="n"/>
    </row>
    <row r="121" ht="15" customHeight="1" s="62">
      <c r="A121" s="54" t="n"/>
      <c r="B121" s="33" t="n"/>
      <c r="C121" s="34" t="n"/>
      <c r="D121" s="34" t="n"/>
      <c r="E121" s="35" t="n"/>
      <c r="F121" s="35" t="n"/>
      <c r="G121" s="41" t="n"/>
      <c r="H121" s="34" t="n"/>
      <c r="I121" s="36" t="n"/>
      <c r="J121" s="37" t="n"/>
    </row>
    <row r="122" ht="15" customHeight="1" s="62">
      <c r="A122" s="54" t="n"/>
      <c r="B122" s="33" t="n"/>
      <c r="C122" s="34" t="n"/>
      <c r="D122" s="34" t="n"/>
      <c r="E122" s="35" t="n"/>
      <c r="F122" s="35" t="n"/>
      <c r="G122" s="41" t="n"/>
      <c r="H122" s="34" t="n"/>
      <c r="I122" s="36" t="n"/>
      <c r="J122" s="37" t="n"/>
    </row>
    <row r="123" ht="15" customHeight="1" s="62">
      <c r="A123" s="54" t="n"/>
      <c r="B123" s="33" t="n"/>
      <c r="C123" s="34" t="n"/>
      <c r="D123" s="34" t="n"/>
      <c r="E123" s="35" t="n"/>
      <c r="F123" s="35" t="n"/>
      <c r="G123" s="41" t="n"/>
      <c r="H123" s="34" t="n"/>
      <c r="I123" s="36" t="n"/>
      <c r="J123" s="37" t="n"/>
    </row>
    <row r="124" ht="15" customHeight="1" s="62">
      <c r="A124" s="54" t="n"/>
      <c r="B124" s="33" t="n"/>
      <c r="C124" s="34" t="n"/>
      <c r="D124" s="34" t="n"/>
      <c r="E124" s="35" t="n"/>
      <c r="F124" s="35" t="n"/>
      <c r="G124" s="41" t="n"/>
      <c r="H124" s="34" t="n"/>
      <c r="I124" s="36" t="n"/>
      <c r="J124" s="37" t="n"/>
    </row>
    <row r="125" ht="15" customHeight="1" s="62">
      <c r="A125" s="54" t="n"/>
      <c r="B125" s="33" t="n"/>
      <c r="C125" s="34" t="n"/>
      <c r="D125" s="34" t="n"/>
      <c r="E125" s="35" t="n"/>
      <c r="F125" s="35" t="n"/>
      <c r="G125" s="41" t="n"/>
      <c r="H125" s="34" t="n"/>
      <c r="I125" s="36" t="n"/>
      <c r="J125" s="37" t="n"/>
    </row>
    <row r="126" ht="15" customHeight="1" s="62">
      <c r="A126" s="54" t="n"/>
      <c r="B126" s="33" t="n"/>
      <c r="C126" s="34" t="n"/>
      <c r="D126" s="34" t="n"/>
      <c r="E126" s="35" t="n"/>
      <c r="F126" s="35" t="n"/>
      <c r="G126" s="41" t="n"/>
      <c r="H126" s="34" t="n"/>
      <c r="I126" s="36" t="n"/>
      <c r="J126" s="37" t="n"/>
    </row>
    <row r="127" ht="15" customHeight="1" s="62">
      <c r="A127" s="54" t="n"/>
      <c r="B127" s="33" t="n"/>
      <c r="C127" s="34" t="n"/>
      <c r="D127" s="34" t="n"/>
      <c r="E127" s="35" t="n"/>
      <c r="F127" s="35" t="n"/>
      <c r="G127" s="41" t="n"/>
      <c r="H127" s="34" t="n"/>
      <c r="I127" s="36" t="n"/>
      <c r="J127" s="37" t="n"/>
    </row>
    <row r="128" ht="15" customHeight="1" s="62">
      <c r="A128" s="54" t="n"/>
      <c r="B128" s="33" t="n"/>
      <c r="C128" s="34" t="n"/>
      <c r="D128" s="34" t="n"/>
      <c r="E128" s="35" t="n"/>
      <c r="F128" s="35" t="n"/>
      <c r="G128" s="41" t="n"/>
      <c r="H128" s="34" t="n"/>
      <c r="I128" s="36" t="n"/>
      <c r="J128" s="37" t="n"/>
    </row>
    <row r="129" ht="15" customHeight="1" s="62">
      <c r="A129" s="54" t="n"/>
      <c r="B129" s="33" t="n"/>
      <c r="C129" s="34" t="n"/>
      <c r="D129" s="34" t="n"/>
      <c r="E129" s="35" t="n"/>
      <c r="F129" s="35" t="n"/>
      <c r="G129" s="41" t="n"/>
      <c r="H129" s="34" t="n"/>
      <c r="I129" s="36" t="n"/>
      <c r="J129" s="37" t="n"/>
    </row>
    <row r="130" ht="15" customHeight="1" s="62">
      <c r="A130" s="54" t="n"/>
      <c r="B130" s="33" t="n"/>
      <c r="C130" s="34" t="n"/>
      <c r="D130" s="34" t="n"/>
      <c r="E130" s="35" t="n"/>
      <c r="F130" s="35" t="n"/>
      <c r="G130" s="41" t="n"/>
      <c r="H130" s="34" t="n"/>
      <c r="I130" s="36" t="n"/>
      <c r="J130" s="37" t="n"/>
    </row>
    <row r="131" ht="15" customHeight="1" s="62">
      <c r="A131" s="54" t="n"/>
      <c r="B131" s="33" t="n"/>
      <c r="C131" s="34" t="n"/>
      <c r="D131" s="34" t="n"/>
      <c r="E131" s="35" t="n"/>
      <c r="F131" s="35" t="n"/>
      <c r="G131" s="41" t="n"/>
      <c r="H131" s="34" t="n"/>
      <c r="I131" s="36" t="n"/>
      <c r="J131" s="37" t="n"/>
    </row>
    <row r="132" ht="15" customHeight="1" s="62">
      <c r="A132" s="54" t="n"/>
      <c r="B132" s="33" t="n"/>
      <c r="C132" s="34" t="n"/>
      <c r="D132" s="34" t="n"/>
      <c r="E132" s="35" t="n"/>
      <c r="F132" s="35" t="n"/>
      <c r="G132" s="41" t="n"/>
      <c r="H132" s="34" t="n"/>
      <c r="I132" s="36" t="n"/>
      <c r="J132" s="37" t="n"/>
    </row>
    <row r="133" ht="15" customHeight="1" s="62">
      <c r="A133" s="54" t="n"/>
      <c r="B133" s="33" t="n"/>
      <c r="C133" s="34" t="n"/>
      <c r="D133" s="34" t="n"/>
      <c r="E133" s="35" t="n"/>
      <c r="F133" s="35" t="n"/>
      <c r="G133" s="41" t="n"/>
      <c r="H133" s="34" t="n"/>
      <c r="I133" s="36" t="n"/>
      <c r="J133" s="37" t="n"/>
    </row>
    <row r="134" ht="15" customHeight="1" s="62">
      <c r="A134" s="54" t="n"/>
      <c r="B134" s="33" t="n"/>
      <c r="C134" s="34" t="n"/>
      <c r="D134" s="34" t="n"/>
      <c r="E134" s="35" t="n"/>
      <c r="F134" s="35" t="n"/>
      <c r="G134" s="41" t="n"/>
      <c r="H134" s="34" t="n"/>
      <c r="I134" s="36" t="n"/>
      <c r="J134" s="37" t="n"/>
    </row>
    <row r="135" ht="15" customHeight="1" s="62">
      <c r="A135" s="54" t="n"/>
      <c r="B135" s="33" t="n"/>
      <c r="C135" s="34" t="n"/>
      <c r="D135" s="34" t="n"/>
      <c r="E135" s="35" t="n"/>
      <c r="F135" s="35" t="n"/>
      <c r="G135" s="41" t="n"/>
      <c r="H135" s="34" t="n"/>
      <c r="I135" s="36" t="n"/>
      <c r="J135" s="37" t="n"/>
    </row>
    <row r="136" ht="15" customHeight="1" s="62">
      <c r="A136" s="54" t="n"/>
      <c r="B136" s="33" t="n"/>
      <c r="C136" s="34" t="n"/>
      <c r="D136" s="34" t="n"/>
      <c r="E136" s="35" t="n"/>
      <c r="F136" s="35" t="n"/>
      <c r="G136" s="41" t="n"/>
      <c r="H136" s="34" t="n"/>
      <c r="I136" s="36" t="n"/>
      <c r="J136" s="37" t="n"/>
    </row>
    <row r="137" ht="15" customHeight="1" s="62">
      <c r="A137" s="54" t="n"/>
      <c r="B137" s="33" t="n"/>
      <c r="C137" s="34" t="n"/>
      <c r="D137" s="34" t="n"/>
      <c r="E137" s="35" t="n"/>
      <c r="F137" s="35" t="n"/>
      <c r="G137" s="41" t="n"/>
      <c r="H137" s="34" t="n"/>
      <c r="I137" s="36" t="n"/>
      <c r="J137" s="37" t="n"/>
    </row>
    <row r="138" ht="15" customHeight="1" s="62">
      <c r="A138" s="54" t="n"/>
      <c r="B138" s="33" t="n"/>
      <c r="C138" s="34" t="n"/>
      <c r="D138" s="34" t="n"/>
      <c r="E138" s="35" t="n"/>
      <c r="F138" s="35" t="n"/>
      <c r="G138" s="41" t="n"/>
      <c r="H138" s="34" t="n"/>
      <c r="I138" s="36" t="n"/>
      <c r="J138" s="37" t="n"/>
    </row>
    <row r="139" ht="15" customHeight="1" s="62">
      <c r="A139" s="54" t="n"/>
      <c r="B139" s="33" t="n"/>
      <c r="C139" s="34" t="n"/>
      <c r="D139" s="34" t="n"/>
      <c r="E139" s="35" t="n"/>
      <c r="F139" s="35" t="n"/>
      <c r="G139" s="41" t="n"/>
      <c r="H139" s="34" t="n"/>
      <c r="I139" s="36" t="n"/>
      <c r="J139" s="37" t="n"/>
    </row>
    <row r="140" ht="15" customHeight="1" s="62">
      <c r="A140" s="54" t="n"/>
      <c r="B140" s="33" t="n"/>
      <c r="C140" s="34" t="n"/>
      <c r="D140" s="34" t="n"/>
      <c r="E140" s="35" t="n"/>
      <c r="F140" s="35" t="n"/>
      <c r="G140" s="41" t="n"/>
      <c r="H140" s="34" t="n"/>
      <c r="I140" s="36" t="n"/>
      <c r="J140" s="37" t="n"/>
    </row>
    <row r="141" ht="15" customHeight="1" s="62">
      <c r="A141" s="54" t="n"/>
      <c r="B141" s="33" t="n"/>
      <c r="C141" s="34" t="n"/>
      <c r="D141" s="34" t="n"/>
      <c r="E141" s="35" t="n"/>
      <c r="F141" s="35" t="n"/>
      <c r="G141" s="41" t="n"/>
      <c r="H141" s="34" t="n"/>
      <c r="I141" s="36" t="n"/>
      <c r="J141" s="37" t="n"/>
    </row>
    <row r="142" ht="15" customHeight="1" s="62">
      <c r="A142" s="54" t="n"/>
      <c r="B142" s="33" t="n"/>
      <c r="C142" s="34" t="n"/>
      <c r="D142" s="34" t="n"/>
      <c r="E142" s="35" t="n"/>
      <c r="F142" s="35" t="n"/>
      <c r="G142" s="41" t="n"/>
      <c r="H142" s="34" t="n"/>
      <c r="I142" s="36" t="n"/>
      <c r="J142" s="37" t="n"/>
    </row>
    <row r="143" ht="15" customHeight="1" s="62">
      <c r="A143" s="54" t="n"/>
      <c r="B143" s="33" t="n"/>
      <c r="C143" s="34" t="n"/>
      <c r="D143" s="34" t="n"/>
      <c r="E143" s="35" t="n"/>
      <c r="F143" s="35" t="n"/>
      <c r="G143" s="41" t="n"/>
      <c r="H143" s="34" t="n"/>
      <c r="I143" s="36" t="n"/>
      <c r="J143" s="37" t="n"/>
    </row>
    <row r="144" ht="15" customHeight="1" s="62">
      <c r="A144" s="54" t="n"/>
      <c r="B144" s="33" t="n"/>
      <c r="C144" s="34" t="n"/>
      <c r="D144" s="34" t="n"/>
      <c r="E144" s="35" t="n"/>
      <c r="F144" s="35" t="n"/>
      <c r="G144" s="41" t="n"/>
      <c r="H144" s="34" t="n"/>
      <c r="I144" s="36" t="n"/>
      <c r="J144" s="37" t="n"/>
    </row>
    <row r="145" ht="15" customHeight="1" s="62">
      <c r="A145" s="54" t="n"/>
      <c r="B145" s="33" t="n"/>
      <c r="C145" s="34" t="n"/>
      <c r="D145" s="34" t="n"/>
      <c r="E145" s="35" t="n"/>
      <c r="F145" s="35" t="n"/>
      <c r="G145" s="41" t="n"/>
      <c r="H145" s="34" t="n"/>
      <c r="I145" s="36" t="n"/>
      <c r="J145" s="37" t="n"/>
    </row>
    <row r="146" ht="15" customHeight="1" s="62">
      <c r="A146" s="54" t="n"/>
      <c r="B146" s="33" t="n"/>
      <c r="C146" s="34" t="n"/>
      <c r="D146" s="34" t="n"/>
      <c r="E146" s="35" t="n"/>
      <c r="F146" s="35" t="n"/>
      <c r="G146" s="41" t="n"/>
      <c r="H146" s="34" t="n"/>
      <c r="I146" s="36" t="n"/>
      <c r="J146" s="37" t="n"/>
    </row>
    <row r="147" ht="15" customHeight="1" s="62">
      <c r="A147" s="54" t="n"/>
      <c r="B147" s="33" t="n"/>
      <c r="C147" s="34" t="n"/>
      <c r="D147" s="34" t="n"/>
      <c r="E147" s="35" t="n"/>
      <c r="F147" s="35" t="n"/>
      <c r="G147" s="41" t="n"/>
      <c r="H147" s="34" t="n"/>
      <c r="I147" s="36" t="n"/>
      <c r="J147" s="37" t="n"/>
    </row>
    <row r="148" ht="15" customHeight="1" s="62">
      <c r="A148" s="54" t="n"/>
      <c r="B148" s="33" t="n"/>
      <c r="C148" s="34" t="n"/>
      <c r="D148" s="34" t="n"/>
      <c r="E148" s="35" t="n"/>
      <c r="F148" s="35" t="n"/>
      <c r="G148" s="41" t="n"/>
      <c r="H148" s="34" t="n"/>
      <c r="I148" s="36" t="n"/>
      <c r="J148" s="37" t="n"/>
    </row>
    <row r="149" ht="15" customHeight="1" s="62">
      <c r="A149" s="54" t="n"/>
      <c r="B149" s="33" t="n"/>
      <c r="C149" s="34" t="n"/>
      <c r="D149" s="34" t="n"/>
      <c r="E149" s="35" t="n"/>
      <c r="F149" s="35" t="n"/>
      <c r="G149" s="41" t="n"/>
      <c r="H149" s="34" t="n"/>
      <c r="I149" s="36" t="n"/>
      <c r="J149" s="37" t="n"/>
    </row>
    <row r="150" ht="15" customHeight="1" s="62">
      <c r="A150" s="54" t="n"/>
      <c r="B150" s="33" t="n"/>
      <c r="C150" s="34" t="n"/>
      <c r="D150" s="34" t="n"/>
      <c r="E150" s="35" t="n"/>
      <c r="F150" s="35" t="n"/>
      <c r="G150" s="41" t="n"/>
      <c r="H150" s="34" t="n"/>
      <c r="I150" s="36" t="n"/>
      <c r="J150" s="37" t="n"/>
    </row>
    <row r="151" ht="15" customHeight="1" s="62">
      <c r="A151" s="54" t="n"/>
      <c r="B151" s="33" t="n"/>
      <c r="C151" s="34" t="n"/>
      <c r="D151" s="34" t="n"/>
      <c r="E151" s="35" t="n"/>
      <c r="F151" s="35" t="n"/>
      <c r="G151" s="41" t="n"/>
      <c r="H151" s="34" t="n"/>
      <c r="I151" s="36" t="n"/>
      <c r="J151" s="37" t="n"/>
    </row>
    <row r="152" ht="15" customHeight="1" s="62">
      <c r="A152" s="54" t="n"/>
      <c r="B152" s="33" t="n"/>
      <c r="C152" s="34" t="n"/>
      <c r="D152" s="34" t="n"/>
      <c r="E152" s="35" t="n"/>
      <c r="F152" s="35" t="n"/>
      <c r="G152" s="41" t="n"/>
      <c r="H152" s="34" t="n"/>
      <c r="I152" s="36" t="n"/>
      <c r="J152" s="37" t="n"/>
    </row>
    <row r="153" ht="15" customHeight="1" s="62">
      <c r="A153" s="54" t="n"/>
      <c r="B153" s="33" t="n"/>
      <c r="C153" s="34" t="n"/>
      <c r="D153" s="34" t="n"/>
      <c r="E153" s="35" t="n"/>
      <c r="F153" s="35" t="n"/>
      <c r="G153" s="41" t="n"/>
      <c r="H153" s="34" t="n"/>
      <c r="I153" s="36" t="n"/>
      <c r="J153" s="37" t="n"/>
    </row>
    <row r="154" ht="15" customHeight="1" s="62">
      <c r="A154" s="54" t="n"/>
      <c r="B154" s="33" t="n"/>
      <c r="C154" s="34" t="n"/>
      <c r="D154" s="34" t="n"/>
      <c r="E154" s="35" t="n"/>
      <c r="F154" s="35" t="n"/>
      <c r="G154" s="41" t="n"/>
      <c r="H154" s="34" t="n"/>
      <c r="I154" s="36" t="n"/>
      <c r="J154" s="37" t="n"/>
    </row>
    <row r="155" ht="15" customHeight="1" s="62">
      <c r="A155" s="54" t="n"/>
      <c r="B155" s="33" t="n"/>
      <c r="C155" s="34" t="n"/>
      <c r="D155" s="34" t="n"/>
      <c r="E155" s="35" t="n"/>
      <c r="F155" s="35" t="n"/>
      <c r="G155" s="41" t="n"/>
      <c r="H155" s="34" t="n"/>
      <c r="I155" s="36" t="n"/>
      <c r="J155" s="37" t="n"/>
    </row>
    <row r="156" ht="15" customHeight="1" s="62">
      <c r="A156" s="54" t="n"/>
      <c r="B156" s="33" t="n"/>
      <c r="C156" s="34" t="n"/>
      <c r="D156" s="34" t="n"/>
      <c r="E156" s="35" t="n"/>
      <c r="F156" s="35" t="n"/>
      <c r="G156" s="41" t="n"/>
      <c r="H156" s="34" t="n"/>
      <c r="I156" s="36" t="n"/>
      <c r="J156" s="37" t="n"/>
    </row>
    <row r="157" ht="15" customHeight="1" s="62">
      <c r="A157" s="54" t="n"/>
      <c r="B157" s="33" t="n"/>
      <c r="C157" s="34" t="n"/>
      <c r="D157" s="34" t="n"/>
      <c r="E157" s="35" t="n"/>
      <c r="F157" s="35" t="n"/>
      <c r="G157" s="41" t="n"/>
      <c r="H157" s="34" t="n"/>
      <c r="I157" s="36" t="n"/>
      <c r="J157" s="37" t="n"/>
    </row>
    <row r="158" ht="15" customHeight="1" s="62">
      <c r="A158" s="54" t="n"/>
      <c r="B158" s="33" t="n"/>
      <c r="C158" s="34" t="n"/>
      <c r="D158" s="34" t="n"/>
      <c r="E158" s="35" t="n"/>
      <c r="F158" s="35" t="n"/>
      <c r="G158" s="41" t="n"/>
      <c r="H158" s="34" t="n"/>
      <c r="I158" s="36" t="n"/>
      <c r="J158" s="37" t="n"/>
    </row>
    <row r="159" ht="15" customHeight="1" s="62">
      <c r="A159" s="54" t="n"/>
      <c r="B159" s="33" t="n"/>
      <c r="C159" s="34" t="n"/>
      <c r="D159" s="34" t="n"/>
      <c r="E159" s="35" t="n"/>
      <c r="F159" s="35" t="n"/>
      <c r="G159" s="41" t="n"/>
      <c r="H159" s="34" t="n"/>
      <c r="I159" s="36" t="n"/>
      <c r="J159" s="37" t="n"/>
    </row>
    <row r="160" ht="15" customHeight="1" s="62">
      <c r="A160" s="54" t="n"/>
      <c r="B160" s="33" t="n"/>
      <c r="C160" s="34" t="n"/>
      <c r="D160" s="34" t="n"/>
      <c r="E160" s="35" t="n"/>
      <c r="F160" s="35" t="n"/>
      <c r="G160" s="41" t="n"/>
      <c r="H160" s="34" t="n"/>
      <c r="I160" s="36" t="n"/>
      <c r="J160" s="37" t="n"/>
    </row>
    <row r="161" ht="15" customHeight="1" s="62">
      <c r="A161" s="54" t="n"/>
      <c r="B161" s="33" t="n"/>
      <c r="C161" s="34" t="n"/>
      <c r="D161" s="34" t="n"/>
      <c r="E161" s="35" t="n"/>
      <c r="F161" s="35" t="n"/>
      <c r="G161" s="41" t="n"/>
      <c r="H161" s="34" t="n"/>
      <c r="I161" s="36" t="n"/>
      <c r="J161" s="37" t="n"/>
    </row>
    <row r="162" ht="15" customHeight="1" s="62">
      <c r="A162" s="54" t="n"/>
      <c r="B162" s="33" t="n"/>
      <c r="C162" s="34" t="n"/>
      <c r="D162" s="34" t="n"/>
      <c r="E162" s="35" t="n"/>
      <c r="F162" s="35" t="n"/>
      <c r="G162" s="41" t="n"/>
      <c r="H162" s="34" t="n"/>
      <c r="I162" s="36" t="n"/>
      <c r="J162" s="37" t="n"/>
    </row>
    <row r="163" ht="15" customHeight="1" s="62">
      <c r="A163" s="54" t="n"/>
      <c r="B163" s="33" t="n"/>
      <c r="C163" s="34" t="n"/>
      <c r="D163" s="34" t="n"/>
      <c r="E163" s="35" t="n"/>
      <c r="F163" s="35" t="n"/>
      <c r="G163" s="41" t="n"/>
      <c r="H163" s="34" t="n"/>
      <c r="I163" s="36" t="n"/>
      <c r="J163" s="37" t="n"/>
    </row>
    <row r="164" ht="15" customHeight="1" s="62">
      <c r="A164" s="54" t="n"/>
      <c r="B164" s="33" t="n"/>
      <c r="C164" s="34" t="n"/>
      <c r="D164" s="34" t="n"/>
      <c r="E164" s="35" t="n"/>
      <c r="F164" s="35" t="n"/>
      <c r="G164" s="41" t="n"/>
      <c r="H164" s="34" t="n"/>
      <c r="I164" s="36" t="n"/>
      <c r="J164" s="37" t="n"/>
    </row>
    <row r="165" ht="15" customHeight="1" s="62">
      <c r="A165" s="54" t="n"/>
      <c r="B165" s="33" t="n"/>
      <c r="C165" s="34" t="n"/>
      <c r="D165" s="34" t="n"/>
      <c r="E165" s="35" t="n"/>
      <c r="F165" s="35" t="n"/>
      <c r="G165" s="41" t="n"/>
      <c r="H165" s="34" t="n"/>
      <c r="I165" s="36" t="n"/>
      <c r="J165" s="37" t="n"/>
    </row>
    <row r="166" ht="15" customHeight="1" s="62">
      <c r="A166" s="54" t="n"/>
      <c r="B166" s="33" t="n"/>
      <c r="C166" s="34" t="n"/>
      <c r="D166" s="34" t="n"/>
      <c r="E166" s="35" t="n"/>
      <c r="F166" s="35" t="n"/>
      <c r="G166" s="41" t="n"/>
      <c r="H166" s="34" t="n"/>
      <c r="I166" s="36" t="n"/>
      <c r="J166" s="37" t="n"/>
    </row>
    <row r="167" ht="15" customHeight="1" s="62">
      <c r="A167" s="54" t="n"/>
      <c r="B167" s="33" t="n"/>
      <c r="C167" s="34" t="n"/>
      <c r="D167" s="34" t="n"/>
      <c r="E167" s="35" t="n"/>
      <c r="F167" s="35" t="n"/>
      <c r="G167" s="41" t="n"/>
      <c r="H167" s="34" t="n"/>
      <c r="I167" s="36" t="n"/>
      <c r="J167" s="37" t="n"/>
    </row>
    <row r="168" ht="15" customHeight="1" s="62">
      <c r="A168" s="54" t="n"/>
      <c r="B168" s="33" t="n"/>
      <c r="C168" s="34" t="n"/>
      <c r="D168" s="34" t="n"/>
      <c r="E168" s="35" t="n"/>
      <c r="F168" s="35" t="n"/>
      <c r="G168" s="41" t="n"/>
      <c r="H168" s="34" t="n"/>
      <c r="I168" s="36" t="n"/>
      <c r="J168" s="37" t="n"/>
    </row>
    <row r="169" ht="15" customHeight="1" s="62">
      <c r="A169" s="54" t="n"/>
      <c r="B169" s="33" t="n"/>
      <c r="C169" s="34" t="n"/>
      <c r="D169" s="34" t="n"/>
      <c r="E169" s="35" t="n"/>
      <c r="F169" s="35" t="n"/>
      <c r="G169" s="41" t="n"/>
      <c r="H169" s="34" t="n"/>
      <c r="I169" s="36" t="n"/>
      <c r="J169" s="37" t="n"/>
    </row>
    <row r="170" ht="15" customHeight="1" s="62">
      <c r="A170" s="54" t="n"/>
      <c r="B170" s="33" t="n"/>
      <c r="C170" s="34" t="n"/>
      <c r="D170" s="34" t="n"/>
      <c r="E170" s="35" t="n"/>
      <c r="F170" s="35" t="n"/>
      <c r="G170" s="41" t="n"/>
      <c r="H170" s="34" t="n"/>
      <c r="I170" s="36" t="n"/>
      <c r="J170" s="37" t="n"/>
    </row>
    <row r="171" ht="15" customHeight="1" s="62">
      <c r="A171" s="54" t="n"/>
      <c r="B171" s="33" t="n"/>
      <c r="C171" s="34" t="n"/>
      <c r="D171" s="34" t="n"/>
      <c r="E171" s="35" t="n"/>
      <c r="F171" s="35" t="n"/>
      <c r="G171" s="41" t="n"/>
      <c r="H171" s="34" t="n"/>
      <c r="I171" s="36" t="n"/>
      <c r="J171" s="37" t="n"/>
    </row>
    <row r="172" ht="15" customHeight="1" s="62">
      <c r="A172" s="54" t="n"/>
      <c r="B172" s="33" t="n"/>
      <c r="C172" s="34" t="n"/>
      <c r="D172" s="34" t="n"/>
      <c r="E172" s="35" t="n"/>
      <c r="F172" s="35" t="n"/>
      <c r="G172" s="41" t="n"/>
      <c r="H172" s="34" t="n"/>
      <c r="I172" s="36" t="n"/>
      <c r="J172" s="37" t="n"/>
    </row>
    <row r="173" ht="15" customHeight="1" s="62">
      <c r="A173" s="54" t="n"/>
      <c r="B173" s="33" t="n"/>
      <c r="C173" s="34" t="n"/>
      <c r="D173" s="34" t="n"/>
      <c r="E173" s="35" t="n"/>
      <c r="F173" s="35" t="n"/>
      <c r="G173" s="41" t="n"/>
      <c r="H173" s="34" t="n"/>
      <c r="I173" s="36" t="n"/>
      <c r="J173" s="37" t="n"/>
    </row>
    <row r="174" ht="15" customHeight="1" s="62">
      <c r="A174" s="54" t="n"/>
      <c r="B174" s="33" t="n"/>
      <c r="C174" s="34" t="n"/>
      <c r="D174" s="34" t="n"/>
      <c r="E174" s="35" t="n"/>
      <c r="F174" s="35" t="n"/>
      <c r="G174" s="41" t="n"/>
      <c r="H174" s="34" t="n"/>
      <c r="I174" s="36" t="n"/>
      <c r="J174" s="37" t="n"/>
    </row>
    <row r="175" ht="15" customHeight="1" s="62">
      <c r="A175" s="54" t="n"/>
      <c r="B175" s="33" t="n"/>
      <c r="C175" s="34" t="n"/>
      <c r="D175" s="34" t="n"/>
      <c r="E175" s="35" t="n"/>
      <c r="F175" s="35" t="n"/>
      <c r="G175" s="41" t="n"/>
      <c r="H175" s="34" t="n"/>
      <c r="I175" s="36" t="n"/>
      <c r="J175" s="37" t="n"/>
    </row>
    <row r="176" ht="15" customHeight="1" s="62">
      <c r="A176" s="54" t="n"/>
      <c r="B176" s="33" t="n"/>
      <c r="C176" s="34" t="n"/>
      <c r="D176" s="34" t="n"/>
      <c r="E176" s="35" t="n"/>
      <c r="F176" s="35" t="n"/>
      <c r="G176" s="41" t="n"/>
      <c r="H176" s="34" t="n"/>
      <c r="I176" s="36" t="n"/>
      <c r="J176" s="37" t="n"/>
    </row>
    <row r="177" ht="15" customHeight="1" s="62">
      <c r="A177" s="54" t="n"/>
      <c r="B177" s="33" t="n"/>
      <c r="C177" s="34" t="n"/>
      <c r="D177" s="34" t="n"/>
      <c r="E177" s="35" t="n"/>
      <c r="F177" s="35" t="n"/>
      <c r="G177" s="41" t="n"/>
      <c r="H177" s="34" t="n"/>
      <c r="I177" s="36" t="n"/>
      <c r="J177" s="37" t="n"/>
    </row>
    <row r="178" ht="15" customHeight="1" s="62">
      <c r="A178" s="54" t="n"/>
      <c r="B178" s="33" t="n"/>
      <c r="C178" s="34" t="n"/>
      <c r="D178" s="34" t="n"/>
      <c r="E178" s="35" t="n"/>
      <c r="F178" s="35" t="n"/>
      <c r="G178" s="41" t="n"/>
      <c r="H178" s="34" t="n"/>
      <c r="I178" s="36" t="n"/>
      <c r="J178" s="37" t="n"/>
    </row>
    <row r="179" ht="15" customHeight="1" s="62">
      <c r="A179" s="54" t="n"/>
      <c r="B179" s="33" t="n"/>
      <c r="C179" s="34" t="n"/>
      <c r="D179" s="34" t="n"/>
      <c r="E179" s="35" t="n"/>
      <c r="F179" s="35" t="n"/>
      <c r="G179" s="41" t="n"/>
      <c r="H179" s="34" t="n"/>
      <c r="I179" s="36" t="n"/>
      <c r="J179" s="37" t="n"/>
    </row>
    <row r="180" ht="15" customHeight="1" s="62">
      <c r="A180" s="54" t="n"/>
      <c r="B180" s="33" t="n"/>
      <c r="C180" s="34" t="n"/>
      <c r="D180" s="34" t="n"/>
      <c r="E180" s="35" t="n"/>
      <c r="F180" s="35" t="n"/>
      <c r="G180" s="41" t="n"/>
      <c r="H180" s="34" t="n"/>
      <c r="I180" s="36" t="n"/>
      <c r="J180" s="37" t="n"/>
    </row>
    <row r="181" ht="15" customHeight="1" s="62">
      <c r="A181" s="54" t="n"/>
      <c r="B181" s="33" t="n"/>
      <c r="C181" s="34" t="n"/>
      <c r="D181" s="34" t="n"/>
      <c r="E181" s="35" t="n"/>
      <c r="F181" s="35" t="n"/>
      <c r="G181" s="41" t="n"/>
      <c r="H181" s="34" t="n"/>
      <c r="I181" s="36" t="n"/>
      <c r="J181" s="37" t="n"/>
    </row>
    <row r="182" ht="15" customHeight="1" s="62">
      <c r="A182" s="54" t="n"/>
      <c r="B182" s="33" t="n"/>
      <c r="C182" s="34" t="n"/>
      <c r="D182" s="34" t="n"/>
      <c r="E182" s="35" t="n"/>
      <c r="F182" s="35" t="n"/>
      <c r="G182" s="41" t="n"/>
      <c r="H182" s="34" t="n"/>
      <c r="I182" s="36" t="n"/>
      <c r="J182" s="37" t="n"/>
    </row>
    <row r="183" ht="15" customHeight="1" s="62">
      <c r="A183" s="54" t="n"/>
      <c r="B183" s="33" t="n"/>
      <c r="C183" s="34" t="n"/>
      <c r="D183" s="34" t="n"/>
      <c r="E183" s="35" t="n"/>
      <c r="F183" s="35" t="n"/>
      <c r="G183" s="41" t="n"/>
      <c r="H183" s="34" t="n"/>
      <c r="I183" s="36" t="n"/>
      <c r="J183" s="37" t="n"/>
    </row>
    <row r="184" ht="15" customHeight="1" s="62">
      <c r="A184" s="54" t="n"/>
      <c r="B184" s="33" t="n"/>
      <c r="C184" s="34" t="n"/>
      <c r="D184" s="34" t="n"/>
      <c r="E184" s="35" t="n"/>
      <c r="F184" s="35" t="n"/>
      <c r="G184" s="41" t="n"/>
      <c r="H184" s="34" t="n"/>
      <c r="I184" s="36" t="n"/>
      <c r="J184" s="37" t="n"/>
    </row>
    <row r="185" ht="15" customHeight="1" s="62">
      <c r="A185" s="54" t="n"/>
      <c r="B185" s="33" t="n"/>
      <c r="C185" s="34" t="n"/>
      <c r="D185" s="34" t="n"/>
      <c r="E185" s="35" t="n"/>
      <c r="F185" s="35" t="n"/>
      <c r="G185" s="41" t="n"/>
      <c r="H185" s="34" t="n"/>
      <c r="I185" s="36" t="n"/>
      <c r="J185" s="37" t="n"/>
    </row>
    <row r="186" ht="15" customHeight="1" s="62">
      <c r="A186" s="54" t="n"/>
      <c r="B186" s="33" t="n"/>
      <c r="C186" s="34" t="n"/>
      <c r="D186" s="34" t="n"/>
      <c r="E186" s="35" t="n"/>
      <c r="F186" s="35" t="n"/>
      <c r="G186" s="41" t="n"/>
      <c r="H186" s="34" t="n"/>
      <c r="I186" s="36" t="n"/>
      <c r="J186" s="37" t="n"/>
    </row>
    <row r="187" ht="15" customHeight="1" s="62">
      <c r="A187" s="54" t="n"/>
      <c r="B187" s="33" t="n"/>
      <c r="C187" s="34" t="n"/>
      <c r="D187" s="34" t="n"/>
      <c r="E187" s="35" t="n"/>
      <c r="F187" s="35" t="n"/>
      <c r="G187" s="41" t="n"/>
      <c r="H187" s="34" t="n"/>
      <c r="I187" s="36" t="n"/>
      <c r="J187" s="37" t="n"/>
    </row>
    <row r="188" ht="15" customHeight="1" s="62">
      <c r="A188" s="54" t="n"/>
      <c r="B188" s="33" t="n"/>
      <c r="C188" s="34" t="n"/>
      <c r="D188" s="34" t="n"/>
      <c r="E188" s="35" t="n"/>
      <c r="F188" s="35" t="n"/>
      <c r="G188" s="41" t="n"/>
      <c r="H188" s="34" t="n"/>
      <c r="I188" s="36" t="n"/>
      <c r="J188" s="37" t="n"/>
    </row>
    <row r="189" ht="15" customHeight="1" s="62">
      <c r="A189" s="54" t="n"/>
      <c r="B189" s="33" t="n"/>
      <c r="C189" s="34" t="n"/>
      <c r="D189" s="34" t="n"/>
      <c r="E189" s="35" t="n"/>
      <c r="F189" s="35" t="n"/>
      <c r="G189" s="41" t="n"/>
      <c r="H189" s="34" t="n"/>
      <c r="I189" s="36" t="n"/>
      <c r="J189" s="37" t="n"/>
    </row>
    <row r="190" ht="15" customHeight="1" s="62">
      <c r="A190" s="54" t="n"/>
      <c r="B190" s="33" t="n"/>
      <c r="C190" s="34" t="n"/>
      <c r="D190" s="34" t="n"/>
      <c r="E190" s="35" t="n"/>
      <c r="F190" s="35" t="n"/>
      <c r="G190" s="41" t="n"/>
      <c r="H190" s="34" t="n"/>
      <c r="I190" s="36" t="n"/>
      <c r="J190" s="37" t="n"/>
    </row>
    <row r="191" ht="15" customHeight="1" s="62">
      <c r="A191" s="54" t="n"/>
      <c r="B191" s="33" t="n"/>
      <c r="C191" s="34" t="n"/>
      <c r="D191" s="34" t="n"/>
      <c r="E191" s="35" t="n"/>
      <c r="F191" s="35" t="n"/>
      <c r="G191" s="41" t="n"/>
      <c r="H191" s="34" t="n"/>
      <c r="I191" s="36" t="n"/>
      <c r="J191" s="37" t="n"/>
    </row>
    <row r="192" ht="15" customHeight="1" s="62">
      <c r="A192" s="54" t="n"/>
      <c r="B192" s="33" t="n"/>
      <c r="C192" s="34" t="n"/>
      <c r="D192" s="34" t="n"/>
      <c r="E192" s="35" t="n"/>
      <c r="F192" s="35" t="n"/>
      <c r="G192" s="41" t="n"/>
      <c r="H192" s="34" t="n"/>
      <c r="I192" s="36" t="n"/>
      <c r="J192" s="37" t="n"/>
    </row>
    <row r="193" ht="15" customHeight="1" s="62">
      <c r="A193" s="54" t="n"/>
      <c r="B193" s="33" t="n"/>
      <c r="C193" s="34" t="n"/>
      <c r="D193" s="34" t="n"/>
      <c r="E193" s="35" t="n"/>
      <c r="F193" s="35" t="n"/>
      <c r="G193" s="41" t="n"/>
      <c r="H193" s="34" t="n"/>
      <c r="I193" s="36" t="n"/>
      <c r="J193" s="37" t="n"/>
    </row>
    <row r="194" ht="15" customHeight="1" s="62">
      <c r="A194" s="54" t="n"/>
      <c r="B194" s="33" t="n"/>
      <c r="C194" s="34" t="n"/>
      <c r="D194" s="34" t="n"/>
      <c r="E194" s="35" t="n"/>
      <c r="F194" s="35" t="n"/>
      <c r="G194" s="41" t="n"/>
      <c r="H194" s="34" t="n"/>
      <c r="I194" s="36" t="n"/>
      <c r="J194" s="37" t="n"/>
    </row>
    <row r="195" ht="15" customHeight="1" s="62">
      <c r="A195" s="54" t="n"/>
      <c r="B195" s="33" t="n"/>
      <c r="C195" s="34" t="n"/>
      <c r="D195" s="34" t="n"/>
      <c r="E195" s="35" t="n"/>
      <c r="F195" s="35" t="n"/>
      <c r="G195" s="41" t="n"/>
      <c r="H195" s="34" t="n"/>
      <c r="I195" s="36" t="n"/>
      <c r="J195" s="37" t="n"/>
    </row>
    <row r="196" ht="15" customHeight="1" s="62">
      <c r="A196" s="54" t="n"/>
      <c r="B196" s="33" t="n"/>
      <c r="C196" s="34" t="n"/>
      <c r="D196" s="34" t="n"/>
      <c r="E196" s="35" t="n"/>
      <c r="F196" s="35" t="n"/>
      <c r="G196" s="41" t="n"/>
      <c r="H196" s="34" t="n"/>
      <c r="I196" s="36" t="n"/>
      <c r="J196" s="37" t="n"/>
    </row>
    <row r="197" ht="15" customHeight="1" s="62">
      <c r="A197" s="54" t="n"/>
      <c r="B197" s="33" t="n"/>
      <c r="C197" s="34" t="n"/>
      <c r="D197" s="34" t="n"/>
      <c r="E197" s="35" t="n"/>
      <c r="F197" s="35" t="n"/>
      <c r="G197" s="41" t="n"/>
      <c r="H197" s="34" t="n"/>
      <c r="I197" s="36" t="n"/>
      <c r="J197" s="37" t="n"/>
    </row>
    <row r="198" ht="15" customHeight="1" s="62">
      <c r="A198" s="54" t="n"/>
      <c r="B198" s="33" t="n"/>
      <c r="C198" s="34" t="n"/>
      <c r="D198" s="34" t="n"/>
      <c r="E198" s="35" t="n"/>
      <c r="F198" s="35" t="n"/>
      <c r="G198" s="41" t="n"/>
      <c r="H198" s="34" t="n"/>
      <c r="I198" s="36" t="n"/>
      <c r="J198" s="37" t="n"/>
    </row>
    <row r="199" ht="15" customHeight="1" s="62">
      <c r="A199" s="54" t="n"/>
      <c r="B199" s="33" t="n"/>
      <c r="C199" s="34" t="n"/>
      <c r="D199" s="34" t="n"/>
      <c r="E199" s="35" t="n"/>
      <c r="F199" s="35" t="n"/>
      <c r="G199" s="41" t="n"/>
      <c r="H199" s="34" t="n"/>
      <c r="I199" s="36" t="n"/>
      <c r="J199" s="37" t="n"/>
    </row>
    <row r="200" ht="15" customHeight="1" s="62">
      <c r="A200" s="54" t="n"/>
      <c r="B200" s="33" t="n"/>
      <c r="C200" s="34" t="n"/>
      <c r="D200" s="34" t="n"/>
      <c r="E200" s="35" t="n"/>
      <c r="F200" s="35" t="n"/>
      <c r="G200" s="41" t="n"/>
      <c r="H200" s="34" t="n"/>
      <c r="I200" s="36" t="n"/>
      <c r="J200" s="37" t="n"/>
    </row>
    <row r="201" ht="15" customHeight="1" s="62">
      <c r="A201" s="54" t="n"/>
      <c r="B201" s="33" t="n"/>
      <c r="C201" s="34" t="n"/>
      <c r="D201" s="34" t="n"/>
      <c r="E201" s="35" t="n"/>
      <c r="F201" s="35" t="n"/>
      <c r="G201" s="41" t="n"/>
      <c r="H201" s="34" t="n"/>
      <c r="I201" s="36" t="n"/>
      <c r="J201" s="37" t="n"/>
    </row>
    <row r="202" ht="15" customHeight="1" s="62">
      <c r="A202" s="54" t="n"/>
      <c r="B202" s="33" t="n"/>
      <c r="C202" s="34" t="n"/>
      <c r="D202" s="34" t="n"/>
      <c r="E202" s="35" t="n"/>
      <c r="F202" s="35" t="n"/>
      <c r="G202" s="41" t="n"/>
      <c r="H202" s="34" t="n"/>
      <c r="I202" s="36" t="n"/>
      <c r="J202" s="37" t="n"/>
    </row>
    <row r="203" ht="15" customHeight="1" s="62">
      <c r="A203" s="54" t="n"/>
      <c r="B203" s="33" t="n"/>
      <c r="C203" s="34" t="n"/>
      <c r="D203" s="34" t="n"/>
      <c r="E203" s="35" t="n"/>
      <c r="F203" s="35" t="n"/>
      <c r="G203" s="41" t="n"/>
      <c r="H203" s="34" t="n"/>
      <c r="I203" s="36" t="n"/>
      <c r="J203" s="37" t="n"/>
    </row>
    <row r="204" ht="15" customHeight="1" s="62">
      <c r="A204" s="54" t="n"/>
      <c r="B204" s="33" t="n"/>
      <c r="C204" s="34" t="n"/>
      <c r="D204" s="34" t="n"/>
      <c r="E204" s="35" t="n"/>
      <c r="F204" s="35" t="n"/>
      <c r="G204" s="41" t="n"/>
      <c r="H204" s="34" t="n"/>
      <c r="I204" s="36" t="n"/>
      <c r="J204" s="37" t="n"/>
    </row>
  </sheetData>
  <mergeCells count="3">
    <mergeCell ref="A1:J1"/>
    <mergeCell ref="A4:J4"/>
    <mergeCell ref="A2:J2"/>
  </mergeCells>
  <conditionalFormatting sqref="A6:H99 J6:J99">
    <cfRule type="expression" priority="9" dxfId="1">
      <formula>$C6="Monthly Rent Charge"</formula>
    </cfRule>
    <cfRule type="expression" priority="11" dxfId="0">
      <formula>$C6="Payment Received"</formula>
    </cfRule>
  </conditionalFormatting>
  <conditionalFormatting sqref="H3 I6:I99">
    <cfRule type="cellIs" priority="16" operator="lessThan" dxfId="3">
      <formula>0</formula>
    </cfRule>
    <cfRule type="cellIs" priority="17" operator="equal" dxfId="3">
      <formula>0</formula>
    </cfRule>
    <cfRule type="cellIs" priority="18" operator="greaterThan" dxfId="2">
      <formula>0</formula>
    </cfRule>
  </conditionalFormatting>
  <dataValidations count="3">
    <dataValidation sqref="B6:B67" showDropDown="0" showInputMessage="0" showErrorMessage="0" allowBlank="1" type="list">
      <formula1>"January,February,March,April,May,June,July,August,September,October,November,December"</formula1>
      <formula2>0</formula2>
    </dataValidation>
    <dataValidation sqref="C6:C67" showDropDown="0" showInputMessage="0" showErrorMessage="0" allowBlank="1" type="list">
      <formula1>"Monthly Rent Charge,Payment Received"</formula1>
      <formula2>0</formula2>
    </dataValidation>
    <dataValidation sqref="A6:A204" showDropDown="0" showInputMessage="1" showErrorMessage="1" allowBlank="1" errorTitle="Invalid date" error="Please enter a valid date." promptTitle="Select a date" prompt="Use the date picker or enter a valid payment date here." type="date">
      <formula1>DATE(2000,1,1)</formula1>
      <formula2>DATE(2100,12,31)</formula2>
    </dataValidation>
  </dataValidations>
  <pageMargins left="0.25" right="0.25" top="0.75" bottom="0.75" header="0.3" footer="0.3"/>
  <pageSetup orientation="portrait" paperSize="9" scale="49" fitToHeight="0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06"/>
  <sheetViews>
    <sheetView topLeftCell="B1" zoomScale="120" zoomScaleNormal="115" workbookViewId="0">
      <selection activeCell="J22" sqref="J22"/>
    </sheetView>
  </sheetViews>
  <sheetFormatPr baseColWidth="8" defaultColWidth="8.6640625" defaultRowHeight="14.4"/>
  <cols>
    <col width="14" customWidth="1" style="62" min="1" max="1"/>
    <col width="24" customWidth="1" style="62" min="3" max="3"/>
    <col width="12.5546875" customWidth="1" style="62" min="4" max="4"/>
    <col width="15" customWidth="1" style="62" min="5" max="5"/>
    <col width="17" customWidth="1" style="62" min="6" max="6"/>
    <col width="18" customWidth="1" style="62" min="7" max="7"/>
    <col width="22" customWidth="1" style="62" min="8" max="8"/>
    <col width="17" customWidth="1" style="62" min="9" max="9"/>
    <col width="30" customWidth="1" style="62" min="10" max="10"/>
    <col width="12" customWidth="1" style="62" min="11" max="11"/>
    <col width="10" customWidth="1" style="62" min="12" max="12"/>
  </cols>
  <sheetData>
    <row r="1" ht="19.5" customHeight="1" s="62">
      <c r="A1" s="74" t="inlineStr">
        <is>
          <t>Unit C2 — Tenant Statement / Ledger</t>
        </is>
      </c>
    </row>
    <row r="2" ht="27.75" customHeight="1" s="62">
      <c r="A2" s="76" t="inlineStr">
        <is>
          <t>Select a month to create a Monthly Rent Charge: the date fills as the first day of that month (current year) and description fills automatically. For a payment, leave Month blank and choose Payment Received.</t>
        </is>
      </c>
    </row>
    <row r="3" ht="15" customHeight="1" s="62">
      <c r="A3" s="25" t="inlineStr">
        <is>
          <t>Unit</t>
        </is>
      </c>
      <c r="B3" s="25" t="inlineStr">
        <is>
          <t>C2</t>
        </is>
      </c>
      <c r="C3" s="25" t="inlineStr">
        <is>
          <t>Current Rent</t>
        </is>
      </c>
      <c r="D3" s="26" t="n">
        <v>3000</v>
      </c>
      <c r="E3" s="26" t="inlineStr">
        <is>
          <t>Garbage</t>
        </is>
      </c>
      <c r="F3" s="26" t="n">
        <v>200</v>
      </c>
      <c r="G3" s="25" t="inlineStr">
        <is>
          <t>Current Balance</t>
        </is>
      </c>
      <c r="H3" s="27">
        <f>IFERROR(LOOKUP(9.99E+307,I6:I32),0)</f>
        <v/>
      </c>
      <c r="I3" s="25" t="inlineStr">
        <is>
          <t>Tenant</t>
        </is>
      </c>
      <c r="J3" s="28" t="inlineStr">
        <is>
          <t>DEDAN Kingori/SAMUEL KIMATHI/ARON MOROMPI</t>
        </is>
      </c>
      <c r="K3" s="29" t="inlineStr">
        <is>
          <t>Deposit Held</t>
        </is>
      </c>
      <c r="L3" s="30" t="n">
        <v>1000</v>
      </c>
    </row>
    <row r="4">
      <c r="A4" s="75" t="inlineStr">
        <is>
          <t>Current tenant only. When vacating → copy rows to Archive sheet, then clear this ledger.</t>
        </is>
      </c>
    </row>
    <row r="5" ht="15" customHeight="1" s="62">
      <c r="A5" s="31" t="inlineStr">
        <is>
          <t>Date</t>
        </is>
      </c>
      <c r="B5" s="31" t="inlineStr">
        <is>
          <t>Month</t>
        </is>
      </c>
      <c r="C5" s="31" t="inlineStr">
        <is>
          <t>Description</t>
        </is>
      </c>
      <c r="D5" s="31" t="inlineStr">
        <is>
          <t>Tenant</t>
        </is>
      </c>
      <c r="E5" s="31" t="inlineStr">
        <is>
          <t>Rent Charged</t>
        </is>
      </c>
      <c r="F5" s="31" t="inlineStr">
        <is>
          <t>Garbage Charged</t>
        </is>
      </c>
      <c r="G5" s="31" t="inlineStr">
        <is>
          <t>Payment Received</t>
        </is>
      </c>
      <c r="H5" s="31" t="inlineStr">
        <is>
          <t>M-Pesa Reference</t>
        </is>
      </c>
      <c r="I5" s="31" t="inlineStr">
        <is>
          <t>Running Balance</t>
        </is>
      </c>
      <c r="J5" s="31" t="inlineStr">
        <is>
          <t>Remarks</t>
        </is>
      </c>
    </row>
    <row r="6" ht="15" customHeight="1" s="62">
      <c r="A6" s="54">
        <f>IF(B6="","",DATE(YEAR(TODAY()),MATCH(B6,{"January","February","March","April","May","June","July","August","September","October","November","December"},0),1))</f>
        <v/>
      </c>
      <c r="B6" s="33" t="inlineStr">
        <is>
          <t>March</t>
        </is>
      </c>
      <c r="C6" s="34">
        <f>IF(B6="","","Monthly Rent Charge")</f>
        <v/>
      </c>
      <c r="D6" s="34" t="n"/>
      <c r="E6" s="35" t="n">
        <v>4500</v>
      </c>
      <c r="F6" s="35">
        <f>IF(C6="Monthly Rent Charge",$F$3,"")</f>
        <v/>
      </c>
      <c r="G6" s="41" t="n"/>
      <c r="H6" s="34" t="n"/>
      <c r="I6" s="36">
        <f>IF(A6="","",IF(C6="Payment Received",-IFERROR(G6,0),IF(C6="Monthly Rent Charge",IFERROR(E6,0)+IFERROR(F6,0),0)))</f>
        <v/>
      </c>
      <c r="J6" s="37" t="inlineStr">
        <is>
          <t>1,000 Paid for Deposit</t>
        </is>
      </c>
    </row>
    <row r="7" ht="15" customHeight="1" s="62">
      <c r="A7" s="53" t="n">
        <v>46090</v>
      </c>
      <c r="B7" s="33" t="n"/>
      <c r="C7" s="34" t="inlineStr">
        <is>
          <t>Payment Received</t>
        </is>
      </c>
      <c r="D7" s="34" t="n"/>
      <c r="E7" s="35">
        <f>IF(C7="Monthly Rent Charge",$D$3,"")</f>
        <v/>
      </c>
      <c r="F7" s="35">
        <f>IF(C7="Monthly Rent Charge",$F$3,"")</f>
        <v/>
      </c>
      <c r="G7" s="41" t="n">
        <v>4500</v>
      </c>
      <c r="H7" s="39" t="inlineStr">
        <is>
          <t>UC9O28Q3OS</t>
        </is>
      </c>
      <c r="I7" s="36">
        <f>IF(A7="","",IF(C7="Payment Received",I6-IFERROR(G7,0),IF(C7="Monthly Rent Charge",I6+IFERROR(E7,0)+IFERROR(F7,0),I6)))</f>
        <v/>
      </c>
      <c r="J7" s="37" t="n"/>
    </row>
    <row r="8" ht="15" customHeight="1" s="62">
      <c r="A8" s="54">
        <f>IF(B8="","",DATE(YEAR(TODAY()),MATCH(B8,{"January","February","March","April","May","June","July","August","September","October","November","December"},0),1))</f>
        <v/>
      </c>
      <c r="B8" s="33" t="inlineStr">
        <is>
          <t>April</t>
        </is>
      </c>
      <c r="C8" s="34">
        <f>IF(B8="","","Monthly Rent Charge")</f>
        <v/>
      </c>
      <c r="D8" s="34" t="n"/>
      <c r="E8" s="35" t="n">
        <v>3500</v>
      </c>
      <c r="F8" s="35">
        <f>IF(C8="Monthly Rent Charge",$F$3,"")</f>
        <v/>
      </c>
      <c r="G8" s="41" t="n"/>
      <c r="H8" s="34" t="n"/>
      <c r="I8" s="36">
        <f>IF(A8="","",IF(C8="Payment Received",I7-IFERROR(G8,0),IF(C8="Monthly Rent Charge",I7+IFERROR(E8,0)+IFERROR(F8,0),I7)))</f>
        <v/>
      </c>
      <c r="J8" s="37" t="n"/>
    </row>
    <row r="9" ht="15" customHeight="1" s="62">
      <c r="A9" s="53" t="n">
        <v>46126</v>
      </c>
      <c r="B9" s="33" t="n"/>
      <c r="C9" s="34" t="inlineStr">
        <is>
          <t>Payment Received</t>
        </is>
      </c>
      <c r="D9" s="34" t="n"/>
      <c r="E9" s="35">
        <f>IF(C9="Monthly Rent Charge",$D$3,"")</f>
        <v/>
      </c>
      <c r="F9" s="35">
        <f>IF(C9="Monthly Rent Charge",$F$3,"")</f>
        <v/>
      </c>
      <c r="G9" s="41" t="n">
        <v>2000</v>
      </c>
      <c r="H9" s="39" t="inlineStr">
        <is>
          <t>UDEGU1424O</t>
        </is>
      </c>
      <c r="I9" s="36">
        <f>IF(A9="","",IF(C9="Payment Received",I8-IFERROR(G9,0),IF(C9="Monthly Rent Charge",I8+IFERROR(E9,0)+IFERROR(F9,0),I8)))</f>
        <v/>
      </c>
      <c r="J9" s="37" t="inlineStr">
        <is>
          <t>SAMUEL</t>
        </is>
      </c>
    </row>
    <row r="10" ht="15" customHeight="1" s="62">
      <c r="A10" s="53" t="n">
        <v>46132</v>
      </c>
      <c r="B10" s="33" t="n"/>
      <c r="C10" s="34" t="inlineStr">
        <is>
          <t>Payment Received</t>
        </is>
      </c>
      <c r="D10" s="34" t="n"/>
      <c r="E10" s="35">
        <f>IF(C10="Monthly Rent Charge",$D$3,"")</f>
        <v/>
      </c>
      <c r="F10" s="35">
        <f>IF(C10="Monthly Rent Charge",$F$3,"")</f>
        <v/>
      </c>
      <c r="G10" s="41" t="n">
        <v>1000</v>
      </c>
      <c r="H10" s="39" t="inlineStr">
        <is>
          <t>UDKGU1S6U5</t>
        </is>
      </c>
      <c r="I10" s="36">
        <f>IF(A10="","",IF(C10="Payment Received",I9-IFERROR(G10,0),IF(C10="Monthly Rent Charge",I9+IFERROR(E10,0)+IFERROR(F10,0),I9)))</f>
        <v/>
      </c>
      <c r="J10" s="37" t="inlineStr">
        <is>
          <t>SAMUEL</t>
        </is>
      </c>
    </row>
    <row r="11" ht="15" customHeight="1" s="62">
      <c r="A11" s="53" t="n">
        <v>46132</v>
      </c>
      <c r="B11" s="33" t="n"/>
      <c r="C11" s="34" t="inlineStr">
        <is>
          <t>Payment Received</t>
        </is>
      </c>
      <c r="D11" s="34" t="n"/>
      <c r="E11" s="35">
        <f>IF(C11="Monthly Rent Charge",$D$3,"")</f>
        <v/>
      </c>
      <c r="F11" s="35">
        <f>IF(C11="Monthly Rent Charge",$F$3,"")</f>
        <v/>
      </c>
      <c r="G11" s="41" t="n">
        <v>500</v>
      </c>
      <c r="H11" s="39" t="inlineStr">
        <is>
          <t>UDKGU1T31J</t>
        </is>
      </c>
      <c r="I11" s="36">
        <f>IF(A11="","",IF(C11="Payment Received",I10-IFERROR(G11,0),IF(C11="Monthly Rent Charge",I10+IFERROR(E11,0)+IFERROR(F11,0),I10)))</f>
        <v/>
      </c>
      <c r="J11" s="37" t="inlineStr">
        <is>
          <t>SAMUEL</t>
        </is>
      </c>
    </row>
    <row r="12" ht="15" customHeight="1" s="62">
      <c r="A12" s="54">
        <f>IF(B12="","",DATE(YEAR(TODAY()),MATCH(B12,{"January","February","March","April","May","June","July","August","September","October","November","December"},0),1))</f>
        <v/>
      </c>
      <c r="B12" s="33" t="inlineStr">
        <is>
          <t>May</t>
        </is>
      </c>
      <c r="C12" s="34">
        <f>IF(B12="","","Monthly Rent Charge")</f>
        <v/>
      </c>
      <c r="D12" s="34" t="n"/>
      <c r="E12" s="35">
        <f>IF(C12="Monthly Rent Charge",$D$3,"")</f>
        <v/>
      </c>
      <c r="F12" s="35">
        <f>IF(C12="Monthly Rent Charge",$F$3,"")</f>
        <v/>
      </c>
      <c r="G12" s="41" t="n"/>
      <c r="H12" s="34" t="n"/>
      <c r="I12" s="36">
        <f>IF(A12="","",IF(C12="Payment Received",I11-IFERROR(G12,0),IF(C12="Monthly Rent Charge",I11+IFERROR(E12,0)+IFERROR(F12,0),I11)))</f>
        <v/>
      </c>
      <c r="J12" s="37" t="n"/>
    </row>
    <row r="13" ht="15" customFormat="1" customHeight="1" s="77">
      <c r="A13" s="54" t="n">
        <v>46167</v>
      </c>
      <c r="B13" s="33" t="n"/>
      <c r="C13" s="34" t="inlineStr">
        <is>
          <t>Payment Received</t>
        </is>
      </c>
      <c r="D13" s="34" t="n"/>
      <c r="E13" s="35" t="n"/>
      <c r="F13" s="35" t="n"/>
      <c r="G13" s="41" t="n">
        <v>2000</v>
      </c>
      <c r="H13" s="34" t="inlineStr">
        <is>
          <t>UEPQR5EBFV</t>
        </is>
      </c>
      <c r="I13" s="36">
        <f>IF(A13="","",IF(C13="Payment Received",I12-IFERROR(G13,0),IF(C13="Monthly Rent Charge",I12+IFERROR(E13,0)+IFERROR(F13,0),I12)))</f>
        <v/>
      </c>
      <c r="J13" s="37" t="inlineStr">
        <is>
          <t>ARON</t>
        </is>
      </c>
    </row>
    <row r="14" ht="15" customHeight="1" s="62">
      <c r="A14" s="54" t="n">
        <v>46168</v>
      </c>
      <c r="B14" s="33" t="n"/>
      <c r="C14" s="34" t="inlineStr">
        <is>
          <t>Payment Received</t>
        </is>
      </c>
      <c r="D14" s="34" t="n"/>
      <c r="E14" s="35">
        <f>IF(C14="Monthly Rent Charge",$D$3,"")</f>
        <v/>
      </c>
      <c r="F14" s="35">
        <f>IF(C14="Monthly Rent Charge",$F$3,"")</f>
        <v/>
      </c>
      <c r="G14" s="41" t="n">
        <v>1500</v>
      </c>
      <c r="H14" s="34" t="inlineStr">
        <is>
          <t>UEQGU5X00A</t>
        </is>
      </c>
      <c r="I14" s="36">
        <f>IF(AND(A14="",C14=""),"",IF(C14="Payment Received",I13-IFERROR(G14,0),IF(C14="Monthly Rent Charge",I13+IFERROR(E14,0)+IFERROR(F14,0),I13)))</f>
        <v/>
      </c>
      <c r="J14" s="37" t="inlineStr">
        <is>
          <t>SAMUEL</t>
        </is>
      </c>
    </row>
    <row r="15" ht="15" customHeight="1" s="62">
      <c r="A15" s="54">
        <f>IF(B15="","",DATE(YEAR(TODAY()),MATCH(B15,{"January","February","March","April","May","June","July","August","September","October","November","December"},0),1))</f>
        <v/>
      </c>
      <c r="B15" s="33" t="inlineStr">
        <is>
          <t>June</t>
        </is>
      </c>
      <c r="C15" s="34">
        <f>IF(B15="","","Monthly Rent Charge")</f>
        <v/>
      </c>
      <c r="D15" s="34" t="n"/>
      <c r="E15" s="35">
        <f>IF(C15="Monthly Rent Charge",$D$3,"")</f>
        <v/>
      </c>
      <c r="F15" s="35">
        <f>IF(C15="Monthly Rent Charge",$F$3,"")</f>
        <v/>
      </c>
      <c r="G15" s="41" t="n"/>
      <c r="H15" s="34" t="n"/>
      <c r="I15" s="36">
        <f>IF(AND(A15="",C15=""),"",IF(C15="Payment Received",I14-IFERROR(G15,0),IF(C15="Monthly Rent Charge",I14+IFERROR(E15,0)+IFERROR(F15,0),I14)))</f>
        <v/>
      </c>
      <c r="J15" s="37" t="n"/>
    </row>
    <row r="16" ht="15" customHeight="1" s="62">
      <c r="A16" s="54" t="n">
        <v>46186</v>
      </c>
      <c r="B16" s="33" t="n"/>
      <c r="C16" s="34" t="inlineStr">
        <is>
          <t>Payment Received</t>
        </is>
      </c>
      <c r="D16" s="34" t="n"/>
      <c r="E16" s="35">
        <f>IF(C16="Monthly Rent Charge",$D$3,"")</f>
        <v/>
      </c>
      <c r="F16" s="35">
        <f>IF(C16="Monthly Rent Charge",$F$3,"")</f>
        <v/>
      </c>
      <c r="G16" s="41" t="n">
        <v>1850</v>
      </c>
      <c r="H16" s="34" t="inlineStr">
        <is>
          <t>UFDO37LF3A</t>
        </is>
      </c>
      <c r="I16" s="36">
        <f>IF(AND(A16="",C16=""),"",IF(C16="Payment Received",I15-IFERROR(G16,0),IF(C16="Monthly Rent Charge",I15+IFERROR(E16,0)+IFERROR(F16,0),I15)))</f>
        <v/>
      </c>
      <c r="J16" s="37" t="inlineStr">
        <is>
          <t xml:space="preserve">DEDAN </t>
        </is>
      </c>
    </row>
    <row r="17" ht="15" customHeight="1" s="62">
      <c r="A17" s="54" t="n">
        <v>46195</v>
      </c>
      <c r="B17" s="33" t="n"/>
      <c r="C17" s="34" t="inlineStr">
        <is>
          <t>Payment Received</t>
        </is>
      </c>
      <c r="D17" s="34" t="n"/>
      <c r="E17" s="35">
        <f>IF(C17="Monthly Rent Charge",$D$3,"")</f>
        <v/>
      </c>
      <c r="F17" s="35">
        <f>IF(C17="Monthly Rent Charge",$F$3,"")</f>
        <v/>
      </c>
      <c r="G17" s="41" t="n">
        <v>1850</v>
      </c>
      <c r="H17" s="34" t="inlineStr">
        <is>
          <t>UFMQR8MJPF</t>
        </is>
      </c>
      <c r="I17" s="36">
        <f>IF(A17="","",IF(C17="Payment Received",I16-IFERROR(G17,0),IF(C17="Monthly Rent Charge",I16+IFERROR(E17,0)+IFERROR(F17,0),I16)))</f>
        <v/>
      </c>
      <c r="J17" s="37" t="inlineStr">
        <is>
          <t>ARON</t>
        </is>
      </c>
    </row>
    <row r="18" ht="15" customHeight="1" s="62">
      <c r="A18" s="54">
        <f>IF(B18="","",DATE(YEAR(TODAY()),MATCH(B18,{"January","February","March","April","May","June","July","August","September","October","November","December"},0),1))</f>
        <v/>
      </c>
      <c r="B18" s="33" t="inlineStr">
        <is>
          <t>July</t>
        </is>
      </c>
      <c r="C18" s="34">
        <f>IF(B18="","","Monthly Rent Charge")</f>
        <v/>
      </c>
      <c r="D18" s="34" t="n"/>
      <c r="E18" s="35">
        <f>IF(C18="Monthly Rent Charge",$D$3,"")</f>
        <v/>
      </c>
      <c r="F18" s="35">
        <f>IF(C18="Monthly Rent Charge",$F$3,"")</f>
        <v/>
      </c>
      <c r="G18" s="41" t="n"/>
      <c r="H18" s="34" t="n"/>
      <c r="I18" s="36">
        <f>IF(A18="","",IF(C18="Payment Received",I17-IFERROR(G18,0),IF(C18="Monthly Rent Charge",I17+IFERROR(E18,0)+IFERROR(F18,0),I17)))</f>
        <v/>
      </c>
      <c r="J18" s="37" t="n"/>
    </row>
    <row r="19" ht="15" customHeight="1" s="62">
      <c r="A19" s="54" t="n">
        <v>46212</v>
      </c>
      <c r="B19" s="33" t="n"/>
      <c r="C19" s="34" t="inlineStr">
        <is>
          <t>Payment Received</t>
        </is>
      </c>
      <c r="D19" s="34" t="n"/>
      <c r="E19" s="35">
        <f>IF(C19="Monthly Rent Charge",$D$3,"")</f>
        <v/>
      </c>
      <c r="F19" s="35">
        <f>IF(C19="Monthly Rent Charge",$F$3,"")</f>
        <v/>
      </c>
      <c r="G19" s="41" t="n">
        <v>1850</v>
      </c>
      <c r="H19" s="34" t="inlineStr">
        <is>
          <t>UG9O2AHJCZ</t>
        </is>
      </c>
      <c r="I19" s="36">
        <f>IF(A19="","",IF(C19="Payment Received",I18-IFERROR(G19,0),IF(C19="Monthly Rent Charge",I18+IFERROR(E19,0)+IFERROR(F19,0),I18)))</f>
        <v/>
      </c>
      <c r="J19" s="37" t="inlineStr">
        <is>
          <t xml:space="preserve">DEDAN </t>
        </is>
      </c>
    </row>
    <row r="20" ht="15" customHeight="1" s="62">
      <c r="A20" s="54" t="n">
        <v>46221</v>
      </c>
      <c r="B20" s="33" t="n"/>
      <c r="C20" s="34" t="inlineStr">
        <is>
          <t>Payment Received</t>
        </is>
      </c>
      <c r="D20" s="34" t="n"/>
      <c r="E20" s="35">
        <f>IF(C20="Monthly Rent Charge",$D$3,"")</f>
        <v/>
      </c>
      <c r="F20" s="35">
        <f>IF(C20="Monthly Rent Charge",$F$3,"")</f>
        <v/>
      </c>
      <c r="G20" s="41" t="n">
        <v>1850</v>
      </c>
      <c r="H20" s="34" t="inlineStr">
        <is>
          <t>UGIQRBLQJ0</t>
        </is>
      </c>
      <c r="I20" s="36">
        <f>IF(A20="","",IF(C20="Payment Received",I19-IFERROR(G20,0),IF(C20="Monthly Rent Charge",I19+IFERROR(E20,0)+IFERROR(F20,0),I19)))</f>
        <v/>
      </c>
      <c r="J20" s="37" t="inlineStr">
        <is>
          <t>ARON</t>
        </is>
      </c>
    </row>
    <row r="21" ht="15" customHeight="1" s="62">
      <c r="A21" s="54">
        <f>IF(B21="","",DATE(YEAR(TODAY()),MATCH(B21,{"January","February","March","April","May","June","July","August","September","October","November","December"},0),1))</f>
        <v/>
      </c>
      <c r="B21" s="33" t="inlineStr">
        <is>
          <t>August</t>
        </is>
      </c>
      <c r="C21" s="34">
        <f>IF(B21="","","Monthly Rent Charge")</f>
        <v/>
      </c>
      <c r="D21" s="34" t="n"/>
      <c r="E21" s="35">
        <f>IF(C21="Monthly Rent Charge",$D$3,"")</f>
        <v/>
      </c>
      <c r="F21" s="35">
        <f>IF(C21="Monthly Rent Charge",$F$3,"")</f>
        <v/>
      </c>
      <c r="G21" s="41" t="n"/>
      <c r="H21" s="34" t="n"/>
      <c r="I21" s="36">
        <f>IF(AND(A21="",C21=""),"",IF(C21="Payment Received",I20-IFERROR(G21,0),IF(C21="Monthly Rent Charge",I20+IFERROR(E21,0)+IFERROR(F21,0),I20)))</f>
        <v/>
      </c>
      <c r="J21" s="37" t="n"/>
    </row>
    <row r="22" ht="15" customHeight="1" s="62">
      <c r="A22" s="54" t="n">
        <v>46243</v>
      </c>
      <c r="B22" s="33" t="n"/>
      <c r="C22" s="34" t="inlineStr">
        <is>
          <t>Payment Received</t>
        </is>
      </c>
      <c r="D22" s="34" t="n"/>
      <c r="E22" s="35">
        <f>IF(C22="Monthly Rent Charge",$D$3,"")</f>
        <v/>
      </c>
      <c r="F22" s="35">
        <f>IF(C22="Monthly Rent Charge",$F$3,"")</f>
        <v/>
      </c>
      <c r="G22" s="41" t="n">
        <v>1850</v>
      </c>
      <c r="H22" s="34" t="inlineStr">
        <is>
          <t>UH9QR25U7I</t>
        </is>
      </c>
      <c r="I22" s="36">
        <f>IF(AND(A22="",C22=""),"",IF(C22="Payment Received",I21-IFERROR(G22,0),IF(C22="Monthly Rent Charge",I21+IFERROR(E22,0)+IFERROR(F22,0),I21)))</f>
        <v/>
      </c>
      <c r="J22" s="37" t="inlineStr">
        <is>
          <t>ARON Morompi</t>
        </is>
      </c>
    </row>
    <row r="23" ht="15" customHeight="1" s="62">
      <c r="A23" s="54" t="n">
        <v>46244</v>
      </c>
      <c r="B23" s="33" t="n"/>
      <c r="C23" s="34" t="inlineStr">
        <is>
          <t>Payment Received</t>
        </is>
      </c>
      <c r="D23" s="34" t="n"/>
      <c r="E23" s="35">
        <f>IF(C23="Monthly Rent Charge",$D$3,"")</f>
        <v/>
      </c>
      <c r="F23" s="35">
        <f>IF(C23="Monthly Rent Charge",$F$3,"")</f>
        <v/>
      </c>
      <c r="G23" s="41" t="n">
        <v>450</v>
      </c>
      <c r="H23" s="34" t="inlineStr">
        <is>
          <t>UHAUH2KSLI</t>
        </is>
      </c>
      <c r="I23" s="36">
        <f>IF(AND(A23="",C23=""),"",IF(C23="Payment Received",I22-IFERROR(G23,0),IF(C23="Monthly Rent Charge",I22+IFERROR(E23,0)+IFERROR(F23,0),IFERROR(I22,0))))</f>
        <v/>
      </c>
      <c r="J23" s="37" t="inlineStr">
        <is>
          <t>DEDAN</t>
        </is>
      </c>
    </row>
    <row r="24" ht="15" customHeight="1" s="62">
      <c r="A24" s="54">
        <f>IF(B24="","",DATE(YEAR(TODAY()),MATCH(B24,{"January","February","March","April","May","June","July","August","September","October","November","December"},0),1))</f>
        <v/>
      </c>
      <c r="B24" s="33" t="n"/>
      <c r="C24" s="34">
        <f>IF(B24="","","Monthly Rent Charge")</f>
        <v/>
      </c>
      <c r="D24" s="34" t="n"/>
      <c r="E24" s="35">
        <f>IF(C24="Monthly Rent Charge",$D$3,"")</f>
        <v/>
      </c>
      <c r="F24" s="35">
        <f>IF(C24="Monthly Rent Charge",$F$3,"")</f>
        <v/>
      </c>
      <c r="G24" s="41" t="n"/>
      <c r="H24" s="34" t="n"/>
      <c r="I24" s="36">
        <f>IF(AND(A24="",C24=""),"",IF(C24="Payment Received",I23-IFERROR(G24,0),IF(C24="Monthly Rent Charge",I23+IFERROR(E24,0)+IFERROR(F24,0),IFERROR(I23,0))))</f>
        <v/>
      </c>
      <c r="J24" s="37" t="n"/>
    </row>
    <row r="25" ht="15" customHeight="1" s="62">
      <c r="A25" s="54">
        <f>IF(B25="","",DATE(YEAR(TODAY()),MATCH(B25,{"January","February","March","April","May","June","July","August","September","October","November","December"},0),1))</f>
        <v/>
      </c>
      <c r="B25" s="33" t="n"/>
      <c r="C25" s="34">
        <f>IF(B25="","","Monthly Rent Charge")</f>
        <v/>
      </c>
      <c r="D25" s="34" t="n"/>
      <c r="E25" s="35">
        <f>IF(C25="Monthly Rent Charge",$D$3,"")</f>
        <v/>
      </c>
      <c r="F25" s="35">
        <f>IF(C25="Monthly Rent Charge",$F$3,"")</f>
        <v/>
      </c>
      <c r="G25" s="41" t="n"/>
      <c r="H25" s="34" t="n"/>
      <c r="I25" s="36">
        <f>IF(AND(A25="",C25=""),"",IF(C25="Payment Received",I24-IFERROR(G25,0),IF(C25="Monthly Rent Charge",I24+IFERROR(E25,0)+IFERROR(F25,0),IFERROR(I24,0))))</f>
        <v/>
      </c>
      <c r="J25" s="37" t="n"/>
    </row>
    <row r="26" ht="15" customHeight="1" s="62">
      <c r="A26" s="54">
        <f>IF(B26="","",DATE(YEAR(TODAY()),MATCH(B26,{"January","February","March","April","May","June","July","August","September","October","November","December"},0),1))</f>
        <v/>
      </c>
      <c r="B26" s="33" t="n"/>
      <c r="C26" s="34">
        <f>IF(B26="","","Monthly Rent Charge")</f>
        <v/>
      </c>
      <c r="D26" s="34" t="n"/>
      <c r="E26" s="35">
        <f>IF(C26="Monthly Rent Charge",$D$3,"")</f>
        <v/>
      </c>
      <c r="F26" s="35">
        <f>IF(C26="Monthly Rent Charge",$F$3,"")</f>
        <v/>
      </c>
      <c r="G26" s="41" t="n"/>
      <c r="H26" s="34" t="n"/>
      <c r="I26" s="36">
        <f>IF(AND(A26="",C26=""),"",IF(C26="Payment Received",I25-IFERROR(G26,0),IF(C26="Monthly Rent Charge",I25+IFERROR(E26,0)+IFERROR(F26,0),IFERROR(I25,0))))</f>
        <v/>
      </c>
      <c r="J26" s="37" t="n"/>
    </row>
    <row r="27" ht="15" customHeight="1" s="62">
      <c r="A27" s="54">
        <f>IF(B27="","",DATE(YEAR(TODAY()),MATCH(B27,{"January","February","March","April","May","June","July","August","September","October","November","December"},0),1))</f>
        <v/>
      </c>
      <c r="B27" s="33" t="n"/>
      <c r="C27" s="34">
        <f>IF(B27="","","Monthly Rent Charge")</f>
        <v/>
      </c>
      <c r="D27" s="34" t="n"/>
      <c r="E27" s="35">
        <f>IF(C27="Monthly Rent Charge",$D$3,"")</f>
        <v/>
      </c>
      <c r="F27" s="35">
        <f>IF(C27="Monthly Rent Charge",$F$3,"")</f>
        <v/>
      </c>
      <c r="G27" s="41" t="n"/>
      <c r="H27" s="34" t="n"/>
      <c r="I27" s="36">
        <f>IF(AND(A27="",C27=""),"",IF(C27="Payment Received",I26-IFERROR(G27,0),IF(C27="Monthly Rent Charge",I26+IFERROR(E27,0)+IFERROR(F27,0),IFERROR(I26,0))))</f>
        <v/>
      </c>
      <c r="J27" s="37" t="n"/>
    </row>
    <row r="28" ht="15" customHeight="1" s="62">
      <c r="A28" s="54">
        <f>IF(B28="","",DATE(YEAR(TODAY()),MATCH(B28,{"January","February","March","April","May","June","July","August","September","October","November","December"},0),1))</f>
        <v/>
      </c>
      <c r="B28" s="33" t="n"/>
      <c r="C28" s="34">
        <f>IF(B28="","","Monthly Rent Charge")</f>
        <v/>
      </c>
      <c r="D28" s="34" t="n"/>
      <c r="E28" s="35">
        <f>IF(C28="Monthly Rent Charge",$D$3,"")</f>
        <v/>
      </c>
      <c r="F28" s="35">
        <f>IF(C28="Monthly Rent Charge",$F$3,"")</f>
        <v/>
      </c>
      <c r="G28" s="41" t="n"/>
      <c r="H28" s="34" t="n"/>
      <c r="I28" s="36">
        <f>IF(AND(A28="",C28=""),"",IF(C28="Payment Received",I27-IFERROR(G28,0),IF(C28="Monthly Rent Charge",I27+IFERROR(E28,0)+IFERROR(F28,0),IFERROR(I27,0))))</f>
        <v/>
      </c>
      <c r="J28" s="37" t="n"/>
    </row>
    <row r="29" ht="15" customHeight="1" s="62">
      <c r="A29" s="54">
        <f>IF(B29="","",DATE(YEAR(TODAY()),MATCH(B29,{"January","February","March","April","May","June","July","August","September","October","November","December"},0),1))</f>
        <v/>
      </c>
      <c r="B29" s="33" t="n"/>
      <c r="C29" s="34">
        <f>IF(B29="","","Monthly Rent Charge")</f>
        <v/>
      </c>
      <c r="D29" s="34" t="n"/>
      <c r="E29" s="35">
        <f>IF(C29="Monthly Rent Charge",$D$3,"")</f>
        <v/>
      </c>
      <c r="F29" s="35">
        <f>IF(C29="Monthly Rent Charge",$F$3,"")</f>
        <v/>
      </c>
      <c r="G29" s="41" t="n"/>
      <c r="H29" s="34" t="n"/>
      <c r="I29" s="36">
        <f>IF(AND(A29="",C29=""),"",IF(C29="Payment Received",I28-IFERROR(G29,0),IF(C29="Monthly Rent Charge",I28+IFERROR(E29,0)+IFERROR(F29,0),IFERROR(I28,0))))</f>
        <v/>
      </c>
      <c r="J29" s="37" t="n"/>
    </row>
    <row r="30" ht="15" customHeight="1" s="62">
      <c r="A30" s="54">
        <f>IF(B30="","",DATE(YEAR(TODAY()),MATCH(B30,{"January","February","March","April","May","June","July","August","September","October","November","December"},0),1))</f>
        <v/>
      </c>
      <c r="B30" s="33" t="n"/>
      <c r="C30" s="34">
        <f>IF(B30="","","Monthly Rent Charge")</f>
        <v/>
      </c>
      <c r="D30" s="34" t="n"/>
      <c r="E30" s="35">
        <f>IF(C30="Monthly Rent Charge",$D$3,"")</f>
        <v/>
      </c>
      <c r="F30" s="35">
        <f>IF(C30="Monthly Rent Charge",$F$3,"")</f>
        <v/>
      </c>
      <c r="G30" s="41" t="n"/>
      <c r="H30" s="34" t="n"/>
      <c r="I30" s="36">
        <f>IF(AND(A30="",C30=""),"",IF(C30="Payment Received",I29-IFERROR(G30,0),IF(C30="Monthly Rent Charge",I29+IFERROR(E30,0)+IFERROR(F30,0),IFERROR(I29,0))))</f>
        <v/>
      </c>
      <c r="J30" s="37" t="n"/>
    </row>
    <row r="31" ht="15" customHeight="1" s="62">
      <c r="A31" s="54">
        <f>IF(B31="","",DATE(YEAR(TODAY()),MATCH(B31,{"January","February","March","April","May","June","July","August","September","October","November","December"},0),1))</f>
        <v/>
      </c>
      <c r="B31" s="33" t="n"/>
      <c r="C31" s="34">
        <f>IF(B31="","","Monthly Rent Charge")</f>
        <v/>
      </c>
      <c r="D31" s="34" t="n"/>
      <c r="E31" s="35">
        <f>IF(C31="Monthly Rent Charge",$D$3,"")</f>
        <v/>
      </c>
      <c r="F31" s="35">
        <f>IF(C31="Monthly Rent Charge",$F$3,"")</f>
        <v/>
      </c>
      <c r="G31" s="41" t="n"/>
      <c r="H31" s="34" t="n"/>
      <c r="I31" s="36">
        <f>IF(AND(A31="",C31=""),"",IF(C31="Payment Received",I30-IFERROR(G31,0),IF(C31="Monthly Rent Charge",I30+IFERROR(E31,0)+IFERROR(F31,0),IFERROR(I30,0))))</f>
        <v/>
      </c>
      <c r="J31" s="37" t="n"/>
    </row>
    <row r="32" ht="15" customHeight="1" s="62">
      <c r="A32" s="54">
        <f>IF(B32="","",DATE(YEAR(TODAY()),MATCH(B32,{"January","February","March","April","May","June","July","August","September","October","November","December"},0),1))</f>
        <v/>
      </c>
      <c r="B32" s="33" t="n"/>
      <c r="C32" s="34">
        <f>IF(B32="","","Monthly Rent Charge")</f>
        <v/>
      </c>
      <c r="D32" s="34" t="n"/>
      <c r="E32" s="35">
        <f>IF(C32="Monthly Rent Charge",$D$3,"")</f>
        <v/>
      </c>
      <c r="F32" s="35">
        <f>IF(C32="Monthly Rent Charge",$F$3,"")</f>
        <v/>
      </c>
      <c r="G32" s="41" t="n"/>
      <c r="H32" s="34" t="n"/>
      <c r="I32" s="36">
        <f>IF(AND(A32="",C32=""),"",IF(C32="Payment Received",I31-IFERROR(G32,0),IF(C32="Monthly Rent Charge",I31+IFERROR(E32,0)+IFERROR(F32,0),IFERROR(I31,0))))</f>
        <v/>
      </c>
      <c r="J32" s="37" t="n"/>
    </row>
    <row r="33" ht="15" customHeight="1" s="62">
      <c r="A33" s="54" t="n"/>
      <c r="B33" s="33" t="n"/>
      <c r="C33" s="34" t="n"/>
      <c r="D33" s="34" t="n"/>
      <c r="E33" s="35" t="n"/>
      <c r="F33" s="35" t="n"/>
      <c r="G33" s="41" t="n"/>
      <c r="H33" s="34" t="n"/>
      <c r="I33" s="36" t="n"/>
      <c r="J33" s="37" t="n"/>
    </row>
    <row r="34" ht="15" customHeight="1" s="62">
      <c r="A34" s="54" t="n"/>
      <c r="B34" s="33" t="n"/>
      <c r="C34" s="34" t="n"/>
      <c r="D34" s="34" t="n"/>
      <c r="E34" s="35" t="n"/>
      <c r="F34" s="35" t="n"/>
      <c r="G34" s="41" t="n"/>
      <c r="H34" s="34" t="n"/>
      <c r="I34" s="36" t="n"/>
      <c r="J34" s="37" t="n"/>
    </row>
    <row r="35" ht="15" customHeight="1" s="62">
      <c r="A35" s="54" t="n"/>
      <c r="B35" s="33" t="n"/>
      <c r="C35" s="34" t="n"/>
      <c r="D35" s="34" t="n"/>
      <c r="E35" s="35" t="n"/>
      <c r="F35" s="35" t="n"/>
      <c r="G35" s="41" t="n"/>
      <c r="H35" s="34" t="n"/>
      <c r="I35" s="36" t="n"/>
      <c r="J35" s="37" t="n"/>
    </row>
    <row r="36" ht="15" customHeight="1" s="62">
      <c r="A36" s="54" t="n"/>
      <c r="B36" s="33" t="n"/>
      <c r="C36" s="34" t="n"/>
      <c r="D36" s="34" t="n"/>
      <c r="E36" s="35" t="n"/>
      <c r="F36" s="35" t="n"/>
      <c r="G36" s="41" t="n"/>
      <c r="H36" s="34" t="n"/>
      <c r="I36" s="36" t="n"/>
      <c r="J36" s="37" t="n"/>
    </row>
    <row r="37" ht="15" customHeight="1" s="62">
      <c r="A37" s="54" t="n"/>
      <c r="B37" s="33" t="n"/>
      <c r="C37" s="34" t="n"/>
      <c r="D37" s="34" t="n"/>
      <c r="E37" s="35" t="n"/>
      <c r="F37" s="35" t="n"/>
      <c r="G37" s="41" t="n"/>
      <c r="H37" s="34" t="n"/>
      <c r="I37" s="36" t="n"/>
      <c r="J37" s="37" t="n"/>
    </row>
    <row r="38" ht="15" customHeight="1" s="62">
      <c r="A38" s="54" t="n"/>
      <c r="B38" s="33" t="n"/>
      <c r="C38" s="34" t="n"/>
      <c r="D38" s="34" t="n"/>
      <c r="E38" s="35" t="n"/>
      <c r="F38" s="35" t="n"/>
      <c r="G38" s="41" t="n"/>
      <c r="H38" s="34" t="n"/>
      <c r="I38" s="36" t="n"/>
      <c r="J38" s="37" t="n"/>
    </row>
    <row r="39" ht="15" customHeight="1" s="62">
      <c r="A39" s="54" t="n"/>
      <c r="B39" s="33" t="n"/>
      <c r="C39" s="34" t="n"/>
      <c r="D39" s="34" t="n"/>
      <c r="E39" s="35" t="n"/>
      <c r="F39" s="35" t="n"/>
      <c r="G39" s="41" t="n"/>
      <c r="H39" s="34" t="n"/>
      <c r="I39" s="36" t="n"/>
      <c r="J39" s="37" t="n"/>
    </row>
    <row r="40" ht="15" customHeight="1" s="62">
      <c r="A40" s="54" t="n"/>
      <c r="B40" s="33" t="n"/>
      <c r="C40" s="34" t="n"/>
      <c r="D40" s="34" t="n"/>
      <c r="E40" s="35" t="n"/>
      <c r="F40" s="35" t="n"/>
      <c r="G40" s="41" t="n"/>
      <c r="H40" s="34" t="n"/>
      <c r="I40" s="36" t="n"/>
      <c r="J40" s="37" t="n"/>
    </row>
    <row r="41" ht="15" customHeight="1" s="62">
      <c r="A41" s="54" t="n"/>
      <c r="B41" s="33" t="n"/>
      <c r="C41" s="34" t="n"/>
      <c r="D41" s="34" t="n"/>
      <c r="E41" s="35" t="n"/>
      <c r="F41" s="35" t="n"/>
      <c r="G41" s="41" t="n"/>
      <c r="H41" s="34" t="n"/>
      <c r="I41" s="36" t="n"/>
      <c r="J41" s="37" t="n"/>
    </row>
    <row r="42" ht="15" customHeight="1" s="62">
      <c r="A42" s="54" t="n"/>
      <c r="B42" s="33" t="n"/>
      <c r="C42" s="34" t="n"/>
      <c r="D42" s="34" t="n"/>
      <c r="E42" s="35" t="n"/>
      <c r="F42" s="35" t="n"/>
      <c r="G42" s="41" t="n"/>
      <c r="H42" s="34" t="n"/>
      <c r="I42" s="36" t="n"/>
      <c r="J42" s="37" t="n"/>
    </row>
    <row r="43" ht="15" customHeight="1" s="62">
      <c r="A43" s="54" t="n"/>
      <c r="B43" s="33" t="n"/>
      <c r="C43" s="34" t="n"/>
      <c r="D43" s="34" t="n"/>
      <c r="E43" s="35" t="n"/>
      <c r="F43" s="35" t="n"/>
      <c r="G43" s="41" t="n"/>
      <c r="H43" s="34" t="n"/>
      <c r="I43" s="36" t="n"/>
      <c r="J43" s="37" t="n"/>
    </row>
    <row r="44" ht="15" customHeight="1" s="62">
      <c r="A44" s="54" t="n"/>
      <c r="B44" s="33" t="n"/>
      <c r="C44" s="34" t="n"/>
      <c r="D44" s="34" t="n"/>
      <c r="E44" s="35" t="n"/>
      <c r="F44" s="35" t="n"/>
      <c r="G44" s="41" t="n"/>
      <c r="H44" s="34" t="n"/>
      <c r="I44" s="36" t="n"/>
      <c r="J44" s="37" t="n"/>
    </row>
    <row r="45" ht="15" customHeight="1" s="62">
      <c r="A45" s="54" t="n"/>
      <c r="B45" s="33" t="n"/>
      <c r="C45" s="34" t="n"/>
      <c r="D45" s="34" t="n"/>
      <c r="E45" s="35" t="n"/>
      <c r="F45" s="35" t="n"/>
      <c r="G45" s="41" t="n"/>
      <c r="H45" s="34" t="n"/>
      <c r="I45" s="36" t="n"/>
      <c r="J45" s="37" t="n"/>
    </row>
    <row r="46" ht="15" customHeight="1" s="62">
      <c r="A46" s="54" t="n"/>
      <c r="B46" s="33" t="n"/>
      <c r="C46" s="34" t="n"/>
      <c r="D46" s="34" t="n"/>
      <c r="E46" s="35" t="n"/>
      <c r="F46" s="35" t="n"/>
      <c r="G46" s="41" t="n"/>
      <c r="H46" s="34" t="n"/>
      <c r="I46" s="36" t="n"/>
      <c r="J46" s="37" t="n"/>
    </row>
    <row r="47" ht="15" customHeight="1" s="62">
      <c r="A47" s="54" t="n"/>
      <c r="B47" s="33" t="n"/>
      <c r="C47" s="34" t="n"/>
      <c r="D47" s="34" t="n"/>
      <c r="E47" s="35" t="n"/>
      <c r="F47" s="35" t="n"/>
      <c r="G47" s="41" t="n"/>
      <c r="H47" s="34" t="n"/>
      <c r="I47" s="36" t="n"/>
      <c r="J47" s="37" t="n"/>
    </row>
    <row r="48" ht="15" customHeight="1" s="62">
      <c r="A48" s="54" t="n"/>
      <c r="B48" s="33" t="n"/>
      <c r="C48" s="34" t="n"/>
      <c r="D48" s="34" t="n"/>
      <c r="E48" s="35" t="n"/>
      <c r="F48" s="35" t="n"/>
      <c r="G48" s="41" t="n"/>
      <c r="H48" s="34" t="n"/>
      <c r="I48" s="36" t="n"/>
      <c r="J48" s="37" t="n"/>
    </row>
    <row r="49" ht="15" customHeight="1" s="62">
      <c r="A49" s="54" t="n"/>
      <c r="B49" s="33" t="n"/>
      <c r="C49" s="34" t="n"/>
      <c r="D49" s="34" t="n"/>
      <c r="E49" s="35" t="n"/>
      <c r="F49" s="35" t="n"/>
      <c r="G49" s="41" t="n"/>
      <c r="H49" s="34" t="n"/>
      <c r="I49" s="36" t="n"/>
      <c r="J49" s="37" t="n"/>
    </row>
    <row r="50" ht="15" customHeight="1" s="62">
      <c r="A50" s="54" t="n"/>
      <c r="B50" s="33" t="n"/>
      <c r="C50" s="34" t="n"/>
      <c r="D50" s="34" t="n"/>
      <c r="E50" s="35" t="n"/>
      <c r="F50" s="35" t="n"/>
      <c r="G50" s="41" t="n"/>
      <c r="H50" s="34" t="n"/>
      <c r="I50" s="36" t="n"/>
      <c r="J50" s="37" t="n"/>
    </row>
    <row r="51" ht="15" customHeight="1" s="62">
      <c r="A51" s="54" t="n"/>
      <c r="B51" s="33" t="n"/>
      <c r="C51" s="34" t="n"/>
      <c r="D51" s="34" t="n"/>
      <c r="E51" s="35" t="n"/>
      <c r="F51" s="35" t="n"/>
      <c r="G51" s="41" t="n"/>
      <c r="H51" s="34" t="n"/>
      <c r="I51" s="36" t="n"/>
      <c r="J51" s="37" t="n"/>
    </row>
    <row r="52" ht="15" customHeight="1" s="62">
      <c r="A52" s="54" t="n"/>
      <c r="B52" s="33" t="n"/>
      <c r="C52" s="34" t="n"/>
      <c r="D52" s="34" t="n"/>
      <c r="E52" s="35" t="n"/>
      <c r="F52" s="35" t="n"/>
      <c r="G52" s="41" t="n"/>
      <c r="H52" s="34" t="n"/>
      <c r="I52" s="36" t="n"/>
      <c r="J52" s="37" t="n"/>
    </row>
    <row r="53" ht="15" customHeight="1" s="62">
      <c r="A53" s="54" t="n"/>
      <c r="B53" s="33" t="n"/>
      <c r="C53" s="34" t="n"/>
      <c r="D53" s="34" t="n"/>
      <c r="E53" s="35" t="n"/>
      <c r="F53" s="35" t="n"/>
      <c r="G53" s="41" t="n"/>
      <c r="H53" s="34" t="n"/>
      <c r="I53" s="36" t="n"/>
      <c r="J53" s="37" t="n"/>
    </row>
    <row r="54" ht="15" customHeight="1" s="62">
      <c r="A54" s="54" t="n"/>
      <c r="B54" s="33" t="n"/>
      <c r="C54" s="34" t="n"/>
      <c r="D54" s="34" t="n"/>
      <c r="E54" s="35" t="n"/>
      <c r="F54" s="35" t="n"/>
      <c r="G54" s="41" t="n"/>
      <c r="H54" s="34" t="n"/>
      <c r="I54" s="36" t="n"/>
      <c r="J54" s="37" t="n"/>
    </row>
    <row r="55" ht="15" customHeight="1" s="62">
      <c r="A55" s="54" t="n"/>
      <c r="B55" s="33" t="n"/>
      <c r="C55" s="34" t="n"/>
      <c r="D55" s="34" t="n"/>
      <c r="E55" s="35" t="n"/>
      <c r="F55" s="35" t="n"/>
      <c r="G55" s="41" t="n"/>
      <c r="H55" s="34" t="n"/>
      <c r="I55" s="36" t="n"/>
      <c r="J55" s="37" t="n"/>
    </row>
    <row r="56" ht="15" customHeight="1" s="62">
      <c r="A56" s="54" t="n"/>
      <c r="B56" s="33" t="n"/>
      <c r="C56" s="34" t="n"/>
      <c r="D56" s="34" t="n"/>
      <c r="E56" s="35" t="n"/>
      <c r="F56" s="35" t="n"/>
      <c r="G56" s="41" t="n"/>
      <c r="H56" s="34" t="n"/>
      <c r="I56" s="36" t="n"/>
      <c r="J56" s="37" t="n"/>
    </row>
    <row r="57" ht="15" customHeight="1" s="62">
      <c r="A57" s="54" t="n"/>
      <c r="B57" s="33" t="n"/>
      <c r="C57" s="34" t="n"/>
      <c r="D57" s="34" t="n"/>
      <c r="E57" s="35" t="n"/>
      <c r="F57" s="35" t="n"/>
      <c r="G57" s="41" t="n"/>
      <c r="H57" s="34" t="n"/>
      <c r="I57" s="36" t="n"/>
      <c r="J57" s="37" t="n"/>
    </row>
    <row r="58" ht="15" customHeight="1" s="62">
      <c r="A58" s="54" t="n"/>
      <c r="B58" s="33" t="n"/>
      <c r="C58" s="34" t="n"/>
      <c r="D58" s="34" t="n"/>
      <c r="E58" s="35" t="n"/>
      <c r="F58" s="35" t="n"/>
      <c r="G58" s="41" t="n"/>
      <c r="H58" s="34" t="n"/>
      <c r="I58" s="36" t="n"/>
      <c r="J58" s="37" t="n"/>
    </row>
    <row r="59" ht="15" customHeight="1" s="62">
      <c r="A59" s="54" t="n"/>
      <c r="B59" s="33" t="n"/>
      <c r="C59" s="34" t="n"/>
      <c r="D59" s="34" t="n"/>
      <c r="E59" s="35" t="n"/>
      <c r="F59" s="35" t="n"/>
      <c r="G59" s="41" t="n"/>
      <c r="H59" s="34" t="n"/>
      <c r="I59" s="36" t="n"/>
      <c r="J59" s="37" t="n"/>
    </row>
    <row r="60" ht="15" customHeight="1" s="62">
      <c r="A60" s="54" t="n"/>
      <c r="B60" s="33" t="n"/>
      <c r="C60" s="34" t="n"/>
      <c r="D60" s="34" t="n"/>
      <c r="E60" s="35" t="n"/>
      <c r="F60" s="35" t="n"/>
      <c r="G60" s="41" t="n"/>
      <c r="H60" s="34" t="n"/>
      <c r="I60" s="36" t="n"/>
      <c r="J60" s="37" t="n"/>
    </row>
    <row r="61" ht="15" customHeight="1" s="62">
      <c r="A61" s="54" t="n"/>
      <c r="B61" s="33" t="n"/>
      <c r="C61" s="34" t="n"/>
      <c r="D61" s="34" t="n"/>
      <c r="E61" s="35" t="n"/>
      <c r="F61" s="35" t="n"/>
      <c r="G61" s="41" t="n"/>
      <c r="H61" s="34" t="n"/>
      <c r="I61" s="36" t="n"/>
      <c r="J61" s="37" t="n"/>
    </row>
    <row r="62" ht="15" customHeight="1" s="62">
      <c r="A62" s="54" t="n"/>
      <c r="B62" s="33" t="n"/>
      <c r="C62" s="34" t="n"/>
      <c r="D62" s="34" t="n"/>
      <c r="E62" s="35" t="n"/>
      <c r="F62" s="35" t="n"/>
      <c r="G62" s="41" t="n"/>
      <c r="H62" s="34" t="n"/>
      <c r="I62" s="36" t="n"/>
      <c r="J62" s="37" t="n"/>
    </row>
    <row r="63" ht="15" customHeight="1" s="62">
      <c r="A63" s="54" t="n"/>
      <c r="B63" s="33" t="n"/>
      <c r="C63" s="34" t="n"/>
      <c r="D63" s="34" t="n"/>
      <c r="E63" s="35" t="n"/>
      <c r="F63" s="35" t="n"/>
      <c r="G63" s="41" t="n"/>
      <c r="H63" s="34" t="n"/>
      <c r="I63" s="36" t="n"/>
      <c r="J63" s="37" t="n"/>
    </row>
    <row r="64" ht="15" customHeight="1" s="62">
      <c r="A64" s="54" t="n"/>
      <c r="B64" s="33" t="n"/>
      <c r="C64" s="34" t="n"/>
      <c r="D64" s="34" t="n"/>
      <c r="E64" s="35" t="n"/>
      <c r="F64" s="35" t="n"/>
      <c r="G64" s="41" t="n"/>
      <c r="H64" s="34" t="n"/>
      <c r="I64" s="36" t="n"/>
      <c r="J64" s="37" t="n"/>
    </row>
    <row r="65" ht="15" customHeight="1" s="62">
      <c r="A65" s="54" t="n"/>
      <c r="B65" s="33" t="n"/>
      <c r="C65" s="34" t="n"/>
      <c r="D65" s="34" t="n"/>
      <c r="E65" s="35" t="n"/>
      <c r="F65" s="35" t="n"/>
      <c r="G65" s="41" t="n"/>
      <c r="H65" s="34" t="n"/>
      <c r="I65" s="36" t="n"/>
      <c r="J65" s="37" t="n"/>
    </row>
    <row r="66" ht="15" customHeight="1" s="62">
      <c r="A66" s="54" t="n"/>
      <c r="B66" s="33" t="n"/>
      <c r="C66" s="34" t="n"/>
      <c r="D66" s="34" t="n"/>
      <c r="E66" s="35" t="n"/>
      <c r="F66" s="35" t="n"/>
      <c r="G66" s="41" t="n"/>
      <c r="H66" s="34" t="n"/>
      <c r="I66" s="36" t="n"/>
      <c r="J66" s="37" t="n"/>
    </row>
    <row r="67" ht="15" customHeight="1" s="62">
      <c r="A67" s="54" t="n"/>
      <c r="B67" s="33" t="n"/>
      <c r="C67" s="34" t="n"/>
      <c r="D67" s="34" t="n"/>
      <c r="E67" s="35" t="n"/>
      <c r="F67" s="35" t="n"/>
      <c r="G67" s="41" t="n"/>
      <c r="H67" s="34" t="n"/>
      <c r="I67" s="36" t="n"/>
      <c r="J67" s="37" t="n"/>
    </row>
    <row r="68" ht="15" customHeight="1" s="62">
      <c r="A68" s="54" t="n"/>
      <c r="B68" s="33" t="n"/>
      <c r="C68" s="34" t="n"/>
      <c r="D68" s="34" t="n"/>
      <c r="E68" s="35" t="n"/>
      <c r="F68" s="35" t="n"/>
      <c r="G68" s="41" t="n"/>
      <c r="H68" s="34" t="n"/>
      <c r="I68" s="36" t="n"/>
      <c r="J68" s="37" t="n"/>
    </row>
    <row r="69" ht="15" customHeight="1" s="62">
      <c r="A69" s="54" t="n"/>
      <c r="B69" s="33" t="n"/>
      <c r="C69" s="34" t="n"/>
      <c r="D69" s="34" t="n"/>
      <c r="E69" s="35" t="n"/>
      <c r="F69" s="35" t="n"/>
      <c r="G69" s="41" t="n"/>
      <c r="H69" s="34" t="n"/>
      <c r="I69" s="36" t="n"/>
      <c r="J69" s="37" t="n"/>
    </row>
    <row r="70" ht="15" customHeight="1" s="62">
      <c r="A70" s="54" t="n"/>
      <c r="B70" s="33" t="n"/>
      <c r="C70" s="34" t="n"/>
      <c r="D70" s="34" t="n"/>
      <c r="E70" s="35" t="n"/>
      <c r="F70" s="35" t="n"/>
      <c r="G70" s="41" t="n"/>
      <c r="H70" s="34" t="n"/>
      <c r="I70" s="36" t="n"/>
      <c r="J70" s="37" t="n"/>
    </row>
    <row r="71" ht="15" customHeight="1" s="62">
      <c r="A71" s="54" t="n"/>
      <c r="B71" s="33" t="n"/>
      <c r="C71" s="34" t="n"/>
      <c r="D71" s="34" t="n"/>
      <c r="E71" s="35" t="n"/>
      <c r="F71" s="35" t="n"/>
      <c r="G71" s="41" t="n"/>
      <c r="H71" s="34" t="n"/>
      <c r="I71" s="36" t="n"/>
      <c r="J71" s="37" t="n"/>
    </row>
    <row r="72" ht="15" customHeight="1" s="62">
      <c r="A72" s="54" t="n"/>
      <c r="B72" s="33" t="n"/>
      <c r="C72" s="34" t="n"/>
      <c r="D72" s="34" t="n"/>
      <c r="E72" s="35" t="n"/>
      <c r="F72" s="35" t="n"/>
      <c r="G72" s="41" t="n"/>
      <c r="H72" s="34" t="n"/>
      <c r="I72" s="36" t="n"/>
      <c r="J72" s="37" t="n"/>
    </row>
    <row r="73" ht="15" customHeight="1" s="62">
      <c r="A73" s="54" t="n"/>
      <c r="B73" s="33" t="n"/>
      <c r="C73" s="34" t="n"/>
      <c r="D73" s="34" t="n"/>
      <c r="E73" s="35" t="n"/>
      <c r="F73" s="35" t="n"/>
      <c r="G73" s="41" t="n"/>
      <c r="H73" s="34" t="n"/>
      <c r="I73" s="36" t="n"/>
      <c r="J73" s="37" t="n"/>
    </row>
    <row r="74" ht="15" customHeight="1" s="62">
      <c r="A74" s="54" t="n"/>
      <c r="B74" s="33" t="n"/>
      <c r="C74" s="34" t="n"/>
      <c r="D74" s="34" t="n"/>
      <c r="E74" s="35" t="n"/>
      <c r="F74" s="35" t="n"/>
      <c r="G74" s="41" t="n"/>
      <c r="H74" s="34" t="n"/>
      <c r="I74" s="36" t="n"/>
      <c r="J74" s="37" t="n"/>
    </row>
    <row r="75" ht="15" customHeight="1" s="62">
      <c r="A75" s="54" t="n"/>
      <c r="B75" s="33" t="n"/>
      <c r="C75" s="34" t="n"/>
      <c r="D75" s="34" t="n"/>
      <c r="E75" s="35" t="n"/>
      <c r="F75" s="35" t="n"/>
      <c r="G75" s="41" t="n"/>
      <c r="H75" s="34" t="n"/>
      <c r="I75" s="36" t="n"/>
      <c r="J75" s="37" t="n"/>
    </row>
    <row r="76" ht="15" customHeight="1" s="62">
      <c r="A76" s="54" t="n"/>
      <c r="B76" s="33" t="n"/>
      <c r="C76" s="34" t="n"/>
      <c r="D76" s="34" t="n"/>
      <c r="E76" s="35" t="n"/>
      <c r="F76" s="35" t="n"/>
      <c r="G76" s="41" t="n"/>
      <c r="H76" s="34" t="n"/>
      <c r="I76" s="36" t="n"/>
      <c r="J76" s="37" t="n"/>
    </row>
    <row r="77" ht="15" customHeight="1" s="62">
      <c r="A77" s="54" t="n"/>
      <c r="B77" s="33" t="n"/>
      <c r="C77" s="34" t="n"/>
      <c r="D77" s="34" t="n"/>
      <c r="E77" s="35" t="n"/>
      <c r="F77" s="35" t="n"/>
      <c r="G77" s="41" t="n"/>
      <c r="H77" s="34" t="n"/>
      <c r="I77" s="36" t="n"/>
      <c r="J77" s="37" t="n"/>
    </row>
    <row r="78" ht="15" customHeight="1" s="62">
      <c r="A78" s="54" t="n"/>
      <c r="B78" s="33" t="n"/>
      <c r="C78" s="34" t="n"/>
      <c r="D78" s="34" t="n"/>
      <c r="E78" s="35" t="n"/>
      <c r="F78" s="35" t="n"/>
      <c r="G78" s="41" t="n"/>
      <c r="H78" s="34" t="n"/>
      <c r="I78" s="36" t="n"/>
      <c r="J78" s="37" t="n"/>
    </row>
    <row r="79" ht="15" customHeight="1" s="62">
      <c r="A79" s="54" t="n"/>
      <c r="B79" s="33" t="n"/>
      <c r="C79" s="34" t="n"/>
      <c r="D79" s="34" t="n"/>
      <c r="E79" s="35" t="n"/>
      <c r="F79" s="35" t="n"/>
      <c r="G79" s="41" t="n"/>
      <c r="H79" s="34" t="n"/>
      <c r="I79" s="36" t="n"/>
      <c r="J79" s="37" t="n"/>
    </row>
    <row r="80" ht="15" customHeight="1" s="62">
      <c r="A80" s="54" t="n"/>
      <c r="B80" s="33" t="n"/>
      <c r="C80" s="34" t="n"/>
      <c r="D80" s="34" t="n"/>
      <c r="E80" s="35" t="n"/>
      <c r="F80" s="35" t="n"/>
      <c r="G80" s="41" t="n"/>
      <c r="H80" s="34" t="n"/>
      <c r="I80" s="36" t="n"/>
      <c r="J80" s="37" t="n"/>
    </row>
    <row r="81" ht="15" customHeight="1" s="62">
      <c r="A81" s="54" t="n"/>
      <c r="B81" s="33" t="n"/>
      <c r="C81" s="34" t="n"/>
      <c r="D81" s="34" t="n"/>
      <c r="E81" s="35" t="n"/>
      <c r="F81" s="35" t="n"/>
      <c r="G81" s="41" t="n"/>
      <c r="H81" s="34" t="n"/>
      <c r="I81" s="36" t="n"/>
      <c r="J81" s="37" t="n"/>
    </row>
    <row r="82" ht="15" customHeight="1" s="62">
      <c r="A82" s="54" t="n"/>
      <c r="B82" s="33" t="n"/>
      <c r="C82" s="34" t="n"/>
      <c r="D82" s="34" t="n"/>
      <c r="E82" s="35" t="n"/>
      <c r="F82" s="35" t="n"/>
      <c r="G82" s="41" t="n"/>
      <c r="H82" s="34" t="n"/>
      <c r="I82" s="36" t="n"/>
      <c r="J82" s="37" t="n"/>
    </row>
    <row r="83" ht="15" customHeight="1" s="62">
      <c r="A83" s="54" t="n"/>
      <c r="B83" s="33" t="n"/>
      <c r="C83" s="34" t="n"/>
      <c r="D83" s="34" t="n"/>
      <c r="E83" s="35" t="n"/>
      <c r="F83" s="35" t="n"/>
      <c r="G83" s="41" t="n"/>
      <c r="H83" s="34" t="n"/>
      <c r="I83" s="36" t="n"/>
      <c r="J83" s="37" t="n"/>
    </row>
    <row r="84" ht="15" customHeight="1" s="62">
      <c r="A84" s="54" t="n"/>
      <c r="B84" s="33" t="n"/>
      <c r="C84" s="34" t="n"/>
      <c r="D84" s="34" t="n"/>
      <c r="E84" s="35" t="n"/>
      <c r="F84" s="35" t="n"/>
      <c r="G84" s="41" t="n"/>
      <c r="H84" s="34" t="n"/>
      <c r="I84" s="36" t="n"/>
      <c r="J84" s="37" t="n"/>
    </row>
    <row r="85" ht="15" customHeight="1" s="62">
      <c r="A85" s="54" t="n"/>
      <c r="B85" s="33" t="n"/>
      <c r="C85" s="34" t="n"/>
      <c r="D85" s="34" t="n"/>
      <c r="E85" s="35" t="n"/>
      <c r="F85" s="35" t="n"/>
      <c r="G85" s="41" t="n"/>
      <c r="H85" s="34" t="n"/>
      <c r="I85" s="36" t="n"/>
      <c r="J85" s="37" t="n"/>
    </row>
    <row r="86" ht="15" customHeight="1" s="62">
      <c r="A86" s="54" t="n"/>
      <c r="B86" s="33" t="n"/>
      <c r="C86" s="34" t="n"/>
      <c r="D86" s="34" t="n"/>
      <c r="E86" s="35" t="n"/>
      <c r="F86" s="35" t="n"/>
      <c r="G86" s="41" t="n"/>
      <c r="H86" s="34" t="n"/>
      <c r="I86" s="36" t="n"/>
      <c r="J86" s="37" t="n"/>
    </row>
    <row r="87" ht="15" customHeight="1" s="62">
      <c r="A87" s="54" t="n"/>
      <c r="B87" s="33" t="n"/>
      <c r="C87" s="34" t="n"/>
      <c r="D87" s="34" t="n"/>
      <c r="E87" s="35" t="n"/>
      <c r="F87" s="35" t="n"/>
      <c r="G87" s="41" t="n"/>
      <c r="H87" s="34" t="n"/>
      <c r="I87" s="36" t="n"/>
      <c r="J87" s="37" t="n"/>
    </row>
    <row r="88" ht="15" customHeight="1" s="62">
      <c r="A88" s="54" t="n"/>
      <c r="B88" s="33" t="n"/>
      <c r="C88" s="34" t="n"/>
      <c r="D88" s="34" t="n"/>
      <c r="E88" s="35" t="n"/>
      <c r="F88" s="35" t="n"/>
      <c r="G88" s="41" t="n"/>
      <c r="H88" s="34" t="n"/>
      <c r="I88" s="36" t="n"/>
      <c r="J88" s="37" t="n"/>
    </row>
    <row r="89" ht="15" customHeight="1" s="62">
      <c r="A89" s="54" t="n"/>
      <c r="B89" s="33" t="n"/>
      <c r="C89" s="34" t="n"/>
      <c r="D89" s="34" t="n"/>
      <c r="E89" s="35" t="n"/>
      <c r="F89" s="35" t="n"/>
      <c r="G89" s="41" t="n"/>
      <c r="H89" s="34" t="n"/>
      <c r="I89" s="36" t="n"/>
      <c r="J89" s="37" t="n"/>
    </row>
    <row r="90" ht="15" customHeight="1" s="62">
      <c r="A90" s="54" t="n"/>
      <c r="B90" s="33" t="n"/>
      <c r="C90" s="34" t="n"/>
      <c r="D90" s="34" t="n"/>
      <c r="E90" s="35" t="n"/>
      <c r="F90" s="35" t="n"/>
      <c r="G90" s="41" t="n"/>
      <c r="H90" s="34" t="n"/>
      <c r="I90" s="36" t="n"/>
      <c r="J90" s="37" t="n"/>
    </row>
    <row r="91" ht="15" customHeight="1" s="62">
      <c r="A91" s="54" t="n"/>
      <c r="B91" s="33" t="n"/>
      <c r="C91" s="34" t="n"/>
      <c r="D91" s="34" t="n"/>
      <c r="E91" s="35" t="n"/>
      <c r="F91" s="35" t="n"/>
      <c r="G91" s="41" t="n"/>
      <c r="H91" s="34" t="n"/>
      <c r="I91" s="36" t="n"/>
      <c r="J91" s="37" t="n"/>
    </row>
    <row r="92" ht="15" customHeight="1" s="62">
      <c r="A92" s="54" t="n"/>
      <c r="B92" s="33" t="n"/>
      <c r="C92" s="34" t="n"/>
      <c r="D92" s="34" t="n"/>
      <c r="E92" s="35" t="n"/>
      <c r="F92" s="35" t="n"/>
      <c r="G92" s="41" t="n"/>
      <c r="H92" s="34" t="n"/>
      <c r="I92" s="36" t="n"/>
      <c r="J92" s="37" t="n"/>
    </row>
    <row r="93" ht="15" customHeight="1" s="62">
      <c r="A93" s="54" t="n"/>
      <c r="B93" s="33" t="n"/>
      <c r="C93" s="34" t="n"/>
      <c r="D93" s="34" t="n"/>
      <c r="E93" s="35" t="n"/>
      <c r="F93" s="35" t="n"/>
      <c r="G93" s="41" t="n"/>
      <c r="H93" s="34" t="n"/>
      <c r="I93" s="36" t="n"/>
      <c r="J93" s="37" t="n"/>
    </row>
    <row r="94" ht="15" customHeight="1" s="62">
      <c r="A94" s="54" t="n"/>
      <c r="B94" s="33" t="n"/>
      <c r="C94" s="34" t="n"/>
      <c r="D94" s="34" t="n"/>
      <c r="E94" s="35" t="n"/>
      <c r="F94" s="35" t="n"/>
      <c r="G94" s="41" t="n"/>
      <c r="H94" s="34" t="n"/>
      <c r="I94" s="36" t="n"/>
      <c r="J94" s="37" t="n"/>
    </row>
    <row r="95" ht="15" customHeight="1" s="62">
      <c r="A95" s="54" t="n"/>
      <c r="B95" s="33" t="n"/>
      <c r="C95" s="34" t="n"/>
      <c r="D95" s="34" t="n"/>
      <c r="E95" s="35" t="n"/>
      <c r="F95" s="35" t="n"/>
      <c r="G95" s="41" t="n"/>
      <c r="H95" s="34" t="n"/>
      <c r="I95" s="36" t="n"/>
      <c r="J95" s="37" t="n"/>
    </row>
    <row r="96" ht="15" customHeight="1" s="62">
      <c r="A96" s="54" t="n"/>
      <c r="B96" s="33" t="n"/>
      <c r="C96" s="34" t="n"/>
      <c r="D96" s="34" t="n"/>
      <c r="E96" s="35" t="n"/>
      <c r="F96" s="35" t="n"/>
      <c r="G96" s="41" t="n"/>
      <c r="H96" s="34" t="n"/>
      <c r="I96" s="36" t="n"/>
      <c r="J96" s="37" t="n"/>
    </row>
    <row r="97" ht="15" customHeight="1" s="62">
      <c r="A97" s="54" t="n"/>
      <c r="B97" s="33" t="n"/>
      <c r="C97" s="34" t="n"/>
      <c r="D97" s="34" t="n"/>
      <c r="E97" s="35" t="n"/>
      <c r="F97" s="35" t="n"/>
      <c r="G97" s="41" t="n"/>
      <c r="H97" s="34" t="n"/>
      <c r="I97" s="36" t="n"/>
      <c r="J97" s="37" t="n"/>
    </row>
    <row r="98" ht="15" customHeight="1" s="62">
      <c r="A98" s="54" t="n"/>
      <c r="B98" s="33" t="n"/>
      <c r="C98" s="34" t="n"/>
      <c r="D98" s="34" t="n"/>
      <c r="E98" s="35" t="n"/>
      <c r="F98" s="35" t="n"/>
      <c r="G98" s="41" t="n"/>
      <c r="H98" s="34" t="n"/>
      <c r="I98" s="36" t="n"/>
      <c r="J98" s="37" t="n"/>
    </row>
    <row r="99" ht="15" customHeight="1" s="62">
      <c r="A99" s="54" t="n"/>
      <c r="B99" s="33" t="n"/>
      <c r="C99" s="34" t="n"/>
      <c r="D99" s="34" t="n"/>
      <c r="E99" s="35" t="n"/>
      <c r="F99" s="35" t="n"/>
      <c r="G99" s="41" t="n"/>
      <c r="H99" s="34" t="n"/>
      <c r="I99" s="36" t="n"/>
      <c r="J99" s="37" t="n"/>
    </row>
    <row r="100" ht="15" customHeight="1" s="62">
      <c r="A100" s="54" t="n"/>
      <c r="B100" s="33" t="n"/>
      <c r="C100" s="34" t="n"/>
      <c r="D100" s="34" t="n"/>
      <c r="E100" s="35" t="n"/>
      <c r="F100" s="35" t="n"/>
      <c r="G100" s="41" t="n"/>
      <c r="H100" s="34" t="n"/>
      <c r="I100" s="36" t="n"/>
      <c r="J100" s="37" t="n"/>
    </row>
    <row r="101" ht="15" customHeight="1" s="62">
      <c r="A101" s="54" t="n"/>
      <c r="B101" s="33" t="n"/>
      <c r="C101" s="34" t="n"/>
      <c r="D101" s="34" t="n"/>
      <c r="E101" s="35" t="n"/>
      <c r="F101" s="35" t="n"/>
      <c r="G101" s="41" t="n"/>
      <c r="H101" s="34" t="n"/>
      <c r="I101" s="36" t="n"/>
      <c r="J101" s="37" t="n"/>
    </row>
    <row r="102" ht="15" customHeight="1" s="62">
      <c r="A102" s="54" t="n"/>
      <c r="B102" s="33" t="n"/>
      <c r="C102" s="34" t="n"/>
      <c r="D102" s="34" t="n"/>
      <c r="E102" s="35" t="n"/>
      <c r="F102" s="35" t="n"/>
      <c r="G102" s="41" t="n"/>
      <c r="H102" s="34" t="n"/>
      <c r="I102" s="36" t="n"/>
      <c r="J102" s="37" t="n"/>
    </row>
    <row r="103" ht="15" customHeight="1" s="62">
      <c r="A103" s="54" t="n"/>
      <c r="B103" s="33" t="n"/>
      <c r="C103" s="34" t="n"/>
      <c r="D103" s="34" t="n"/>
      <c r="E103" s="35" t="n"/>
      <c r="F103" s="35" t="n"/>
      <c r="G103" s="41" t="n"/>
      <c r="H103" s="34" t="n"/>
      <c r="I103" s="36" t="n"/>
      <c r="J103" s="37" t="n"/>
    </row>
    <row r="104" ht="15" customHeight="1" s="62">
      <c r="A104" s="54" t="n"/>
      <c r="B104" s="33" t="n"/>
      <c r="C104" s="34" t="n"/>
      <c r="D104" s="34" t="n"/>
      <c r="E104" s="35" t="n"/>
      <c r="F104" s="35" t="n"/>
      <c r="G104" s="41" t="n"/>
      <c r="H104" s="34" t="n"/>
      <c r="I104" s="36" t="n"/>
      <c r="J104" s="37" t="n"/>
    </row>
    <row r="105" ht="15" customHeight="1" s="62">
      <c r="A105" s="54" t="n"/>
      <c r="B105" s="33" t="n"/>
      <c r="C105" s="34" t="n"/>
      <c r="D105" s="34" t="n"/>
      <c r="E105" s="35" t="n"/>
      <c r="F105" s="35" t="n"/>
      <c r="G105" s="41" t="n"/>
      <c r="H105" s="34" t="n"/>
      <c r="I105" s="36" t="n"/>
      <c r="J105" s="37" t="n"/>
    </row>
    <row r="106" ht="15" customHeight="1" s="62">
      <c r="A106" s="54" t="n"/>
      <c r="B106" s="33" t="n"/>
      <c r="C106" s="34" t="n"/>
      <c r="D106" s="34" t="n"/>
      <c r="E106" s="35" t="n"/>
      <c r="F106" s="35" t="n"/>
      <c r="G106" s="41" t="n"/>
      <c r="H106" s="34" t="n"/>
      <c r="I106" s="36" t="n"/>
      <c r="J106" s="37" t="n"/>
    </row>
    <row r="107" ht="15" customHeight="1" s="62">
      <c r="A107" s="54" t="n"/>
      <c r="B107" s="33" t="n"/>
      <c r="C107" s="34" t="n"/>
      <c r="D107" s="34" t="n"/>
      <c r="E107" s="35" t="n"/>
      <c r="F107" s="35" t="n"/>
      <c r="G107" s="41" t="n"/>
      <c r="H107" s="34" t="n"/>
      <c r="I107" s="36" t="n"/>
      <c r="J107" s="37" t="n"/>
    </row>
    <row r="108" ht="15" customHeight="1" s="62">
      <c r="A108" s="54" t="n"/>
      <c r="B108" s="33" t="n"/>
      <c r="C108" s="34" t="n"/>
      <c r="D108" s="34" t="n"/>
      <c r="E108" s="35" t="n"/>
      <c r="F108" s="35" t="n"/>
      <c r="G108" s="41" t="n"/>
      <c r="H108" s="34" t="n"/>
      <c r="I108" s="36" t="n"/>
      <c r="J108" s="37" t="n"/>
    </row>
    <row r="109" ht="15" customHeight="1" s="62">
      <c r="A109" s="54" t="n"/>
      <c r="B109" s="33" t="n"/>
      <c r="C109" s="34" t="n"/>
      <c r="D109" s="34" t="n"/>
      <c r="E109" s="35" t="n"/>
      <c r="F109" s="35" t="n"/>
      <c r="G109" s="41" t="n"/>
      <c r="H109" s="34" t="n"/>
      <c r="I109" s="36" t="n"/>
      <c r="J109" s="37" t="n"/>
    </row>
    <row r="110" ht="15" customHeight="1" s="62">
      <c r="A110" s="54" t="n"/>
      <c r="B110" s="33" t="n"/>
      <c r="C110" s="34" t="n"/>
      <c r="D110" s="34" t="n"/>
      <c r="E110" s="35" t="n"/>
      <c r="F110" s="35" t="n"/>
      <c r="G110" s="41" t="n"/>
      <c r="H110" s="34" t="n"/>
      <c r="I110" s="36" t="n"/>
      <c r="J110" s="37" t="n"/>
    </row>
    <row r="111" ht="15" customHeight="1" s="62">
      <c r="A111" s="54" t="n"/>
      <c r="B111" s="33" t="n"/>
      <c r="C111" s="34" t="n"/>
      <c r="D111" s="34" t="n"/>
      <c r="E111" s="35" t="n"/>
      <c r="F111" s="35" t="n"/>
      <c r="G111" s="41" t="n"/>
      <c r="H111" s="34" t="n"/>
      <c r="I111" s="36" t="n"/>
      <c r="J111" s="37" t="n"/>
    </row>
    <row r="112" ht="15" customHeight="1" s="62">
      <c r="A112" s="54" t="n"/>
      <c r="B112" s="33" t="n"/>
      <c r="C112" s="34" t="n"/>
      <c r="D112" s="34" t="n"/>
      <c r="E112" s="35" t="n"/>
      <c r="F112" s="35" t="n"/>
      <c r="G112" s="41" t="n"/>
      <c r="H112" s="34" t="n"/>
      <c r="I112" s="36" t="n"/>
      <c r="J112" s="37" t="n"/>
    </row>
    <row r="113" ht="15" customHeight="1" s="62">
      <c r="A113" s="54" t="n"/>
      <c r="B113" s="33" t="n"/>
      <c r="C113" s="34" t="n"/>
      <c r="D113" s="34" t="n"/>
      <c r="E113" s="35" t="n"/>
      <c r="F113" s="35" t="n"/>
      <c r="G113" s="41" t="n"/>
      <c r="H113" s="34" t="n"/>
      <c r="I113" s="36" t="n"/>
      <c r="J113" s="37" t="n"/>
    </row>
    <row r="114" ht="15" customHeight="1" s="62">
      <c r="A114" s="54" t="n"/>
      <c r="B114" s="33" t="n"/>
      <c r="C114" s="34" t="n"/>
      <c r="D114" s="34" t="n"/>
      <c r="E114" s="35" t="n"/>
      <c r="F114" s="35" t="n"/>
      <c r="G114" s="41" t="n"/>
      <c r="H114" s="34" t="n"/>
      <c r="I114" s="36" t="n"/>
      <c r="J114" s="37" t="n"/>
    </row>
    <row r="115" ht="15" customHeight="1" s="62">
      <c r="A115" s="54" t="n"/>
      <c r="B115" s="33" t="n"/>
      <c r="C115" s="34" t="n"/>
      <c r="D115" s="34" t="n"/>
      <c r="E115" s="35" t="n"/>
      <c r="F115" s="35" t="n"/>
      <c r="G115" s="41" t="n"/>
      <c r="H115" s="34" t="n"/>
      <c r="I115" s="36" t="n"/>
      <c r="J115" s="37" t="n"/>
    </row>
    <row r="116" ht="15" customHeight="1" s="62">
      <c r="A116" s="54" t="n"/>
      <c r="B116" s="33" t="n"/>
      <c r="C116" s="34" t="n"/>
      <c r="D116" s="34" t="n"/>
      <c r="E116" s="35" t="n"/>
      <c r="F116" s="35" t="n"/>
      <c r="G116" s="41" t="n"/>
      <c r="H116" s="34" t="n"/>
      <c r="I116" s="36" t="n"/>
      <c r="J116" s="37" t="n"/>
    </row>
    <row r="117" ht="15" customHeight="1" s="62">
      <c r="A117" s="54" t="n"/>
      <c r="B117" s="33" t="n"/>
      <c r="C117" s="34" t="n"/>
      <c r="D117" s="34" t="n"/>
      <c r="E117" s="35" t="n"/>
      <c r="F117" s="35" t="n"/>
      <c r="G117" s="41" t="n"/>
      <c r="H117" s="34" t="n"/>
      <c r="I117" s="36" t="n"/>
      <c r="J117" s="37" t="n"/>
    </row>
    <row r="118" ht="15" customHeight="1" s="62">
      <c r="A118" s="54" t="n"/>
      <c r="B118" s="33" t="n"/>
      <c r="C118" s="34" t="n"/>
      <c r="D118" s="34" t="n"/>
      <c r="E118" s="35" t="n"/>
      <c r="F118" s="35" t="n"/>
      <c r="G118" s="41" t="n"/>
      <c r="H118" s="34" t="n"/>
      <c r="I118" s="36" t="n"/>
      <c r="J118" s="37" t="n"/>
    </row>
    <row r="119" ht="15" customHeight="1" s="62">
      <c r="A119" s="54" t="n"/>
      <c r="B119" s="33" t="n"/>
      <c r="C119" s="34" t="n"/>
      <c r="D119" s="34" t="n"/>
      <c r="E119" s="35" t="n"/>
      <c r="F119" s="35" t="n"/>
      <c r="G119" s="41" t="n"/>
      <c r="H119" s="34" t="n"/>
      <c r="I119" s="36" t="n"/>
      <c r="J119" s="37" t="n"/>
    </row>
    <row r="120" ht="15" customHeight="1" s="62">
      <c r="A120" s="54" t="n"/>
      <c r="B120" s="33" t="n"/>
      <c r="C120" s="34" t="n"/>
      <c r="D120" s="34" t="n"/>
      <c r="E120" s="35" t="n"/>
      <c r="F120" s="35" t="n"/>
      <c r="G120" s="41" t="n"/>
      <c r="H120" s="34" t="n"/>
      <c r="I120" s="36" t="n"/>
      <c r="J120" s="37" t="n"/>
    </row>
    <row r="121" ht="15" customHeight="1" s="62">
      <c r="A121" s="54" t="n"/>
      <c r="B121" s="33" t="n"/>
      <c r="C121" s="34" t="n"/>
      <c r="D121" s="34" t="n"/>
      <c r="E121" s="35" t="n"/>
      <c r="F121" s="35" t="n"/>
      <c r="G121" s="41" t="n"/>
      <c r="H121" s="34" t="n"/>
      <c r="I121" s="36" t="n"/>
      <c r="J121" s="37" t="n"/>
    </row>
    <row r="122" ht="15" customHeight="1" s="62">
      <c r="A122" s="54" t="n"/>
      <c r="B122" s="33" t="n"/>
      <c r="C122" s="34" t="n"/>
      <c r="D122" s="34" t="n"/>
      <c r="E122" s="35" t="n"/>
      <c r="F122" s="35" t="n"/>
      <c r="G122" s="41" t="n"/>
      <c r="H122" s="34" t="n"/>
      <c r="I122" s="36" t="n"/>
      <c r="J122" s="37" t="n"/>
    </row>
    <row r="123" ht="15" customHeight="1" s="62">
      <c r="A123" s="54" t="n"/>
      <c r="B123" s="33" t="n"/>
      <c r="C123" s="34" t="n"/>
      <c r="D123" s="34" t="n"/>
      <c r="E123" s="35" t="n"/>
      <c r="F123" s="35" t="n"/>
      <c r="G123" s="41" t="n"/>
      <c r="H123" s="34" t="n"/>
      <c r="I123" s="36" t="n"/>
      <c r="J123" s="37" t="n"/>
    </row>
    <row r="124" ht="15" customHeight="1" s="62">
      <c r="A124" s="54" t="n"/>
      <c r="B124" s="33" t="n"/>
      <c r="C124" s="34" t="n"/>
      <c r="D124" s="34" t="n"/>
      <c r="E124" s="35" t="n"/>
      <c r="F124" s="35" t="n"/>
      <c r="G124" s="41" t="n"/>
      <c r="H124" s="34" t="n"/>
      <c r="I124" s="36" t="n"/>
      <c r="J124" s="37" t="n"/>
    </row>
    <row r="125" ht="15" customHeight="1" s="62">
      <c r="A125" s="54" t="n"/>
      <c r="B125" s="33" t="n"/>
      <c r="C125" s="34" t="n"/>
      <c r="D125" s="34" t="n"/>
      <c r="E125" s="35" t="n"/>
      <c r="F125" s="35" t="n"/>
      <c r="G125" s="41" t="n"/>
      <c r="H125" s="34" t="n"/>
      <c r="I125" s="36" t="n"/>
      <c r="J125" s="37" t="n"/>
    </row>
    <row r="126" ht="15" customHeight="1" s="62">
      <c r="A126" s="54" t="n"/>
      <c r="B126" s="33" t="n"/>
      <c r="C126" s="34" t="n"/>
      <c r="D126" s="34" t="n"/>
      <c r="E126" s="35" t="n"/>
      <c r="F126" s="35" t="n"/>
      <c r="G126" s="41" t="n"/>
      <c r="H126" s="34" t="n"/>
      <c r="I126" s="36" t="n"/>
      <c r="J126" s="37" t="n"/>
    </row>
    <row r="127" ht="15" customHeight="1" s="62">
      <c r="A127" s="54" t="n"/>
      <c r="B127" s="33" t="n"/>
      <c r="C127" s="34" t="n"/>
      <c r="D127" s="34" t="n"/>
      <c r="E127" s="35" t="n"/>
      <c r="F127" s="35" t="n"/>
      <c r="G127" s="41" t="n"/>
      <c r="H127" s="34" t="n"/>
      <c r="I127" s="36" t="n"/>
      <c r="J127" s="37" t="n"/>
    </row>
    <row r="128" ht="15" customHeight="1" s="62">
      <c r="A128" s="54" t="n"/>
      <c r="B128" s="33" t="n"/>
      <c r="C128" s="34" t="n"/>
      <c r="D128" s="34" t="n"/>
      <c r="E128" s="35" t="n"/>
      <c r="F128" s="35" t="n"/>
      <c r="G128" s="41" t="n"/>
      <c r="H128" s="34" t="n"/>
      <c r="I128" s="36" t="n"/>
      <c r="J128" s="37" t="n"/>
    </row>
    <row r="129" ht="15" customHeight="1" s="62">
      <c r="A129" s="54" t="n"/>
      <c r="B129" s="33" t="n"/>
      <c r="C129" s="34" t="n"/>
      <c r="D129" s="34" t="n"/>
      <c r="E129" s="35" t="n"/>
      <c r="F129" s="35" t="n"/>
      <c r="G129" s="41" t="n"/>
      <c r="H129" s="34" t="n"/>
      <c r="I129" s="36" t="n"/>
      <c r="J129" s="37" t="n"/>
    </row>
    <row r="130" ht="15" customHeight="1" s="62">
      <c r="A130" s="54" t="n"/>
      <c r="B130" s="33" t="n"/>
      <c r="C130" s="34" t="n"/>
      <c r="D130" s="34" t="n"/>
      <c r="E130" s="35" t="n"/>
      <c r="F130" s="35" t="n"/>
      <c r="G130" s="41" t="n"/>
      <c r="H130" s="34" t="n"/>
      <c r="I130" s="36" t="n"/>
      <c r="J130" s="37" t="n"/>
    </row>
    <row r="131" ht="15" customHeight="1" s="62">
      <c r="A131" s="54" t="n"/>
      <c r="B131" s="33" t="n"/>
      <c r="C131" s="34" t="n"/>
      <c r="D131" s="34" t="n"/>
      <c r="E131" s="35" t="n"/>
      <c r="F131" s="35" t="n"/>
      <c r="G131" s="41" t="n"/>
      <c r="H131" s="34" t="n"/>
      <c r="I131" s="36" t="n"/>
      <c r="J131" s="37" t="n"/>
    </row>
    <row r="132" ht="15" customHeight="1" s="62">
      <c r="A132" s="54" t="n"/>
      <c r="B132" s="33" t="n"/>
      <c r="C132" s="34" t="n"/>
      <c r="D132" s="34" t="n"/>
      <c r="E132" s="35" t="n"/>
      <c r="F132" s="35" t="n"/>
      <c r="G132" s="41" t="n"/>
      <c r="H132" s="34" t="n"/>
      <c r="I132" s="36" t="n"/>
      <c r="J132" s="37" t="n"/>
    </row>
    <row r="133" ht="15" customHeight="1" s="62">
      <c r="A133" s="54" t="n"/>
      <c r="B133" s="33" t="n"/>
      <c r="C133" s="34" t="n"/>
      <c r="D133" s="34" t="n"/>
      <c r="E133" s="35" t="n"/>
      <c r="F133" s="35" t="n"/>
      <c r="G133" s="41" t="n"/>
      <c r="H133" s="34" t="n"/>
      <c r="I133" s="36" t="n"/>
      <c r="J133" s="37" t="n"/>
    </row>
    <row r="134" ht="15" customHeight="1" s="62">
      <c r="A134" s="54" t="n"/>
      <c r="B134" s="33" t="n"/>
      <c r="C134" s="34" t="n"/>
      <c r="D134" s="34" t="n"/>
      <c r="E134" s="35" t="n"/>
      <c r="F134" s="35" t="n"/>
      <c r="G134" s="41" t="n"/>
      <c r="H134" s="34" t="n"/>
      <c r="I134" s="36" t="n"/>
      <c r="J134" s="37" t="n"/>
    </row>
    <row r="135" ht="15" customHeight="1" s="62">
      <c r="A135" s="54" t="n"/>
      <c r="B135" s="33" t="n"/>
      <c r="C135" s="34" t="n"/>
      <c r="D135" s="34" t="n"/>
      <c r="E135" s="35" t="n"/>
      <c r="F135" s="35" t="n"/>
      <c r="G135" s="41" t="n"/>
      <c r="H135" s="34" t="n"/>
      <c r="I135" s="36" t="n"/>
      <c r="J135" s="37" t="n"/>
    </row>
    <row r="136" ht="15" customHeight="1" s="62">
      <c r="A136" s="54" t="n"/>
      <c r="B136" s="33" t="n"/>
      <c r="C136" s="34" t="n"/>
      <c r="D136" s="34" t="n"/>
      <c r="E136" s="35" t="n"/>
      <c r="F136" s="35" t="n"/>
      <c r="G136" s="41" t="n"/>
      <c r="H136" s="34" t="n"/>
      <c r="I136" s="36" t="n"/>
      <c r="J136" s="37" t="n"/>
    </row>
    <row r="137" ht="15" customHeight="1" s="62">
      <c r="A137" s="54" t="n"/>
      <c r="B137" s="33" t="n"/>
      <c r="C137" s="34" t="n"/>
      <c r="D137" s="34" t="n"/>
      <c r="E137" s="35" t="n"/>
      <c r="F137" s="35" t="n"/>
      <c r="G137" s="41" t="n"/>
      <c r="H137" s="34" t="n"/>
      <c r="I137" s="36" t="n"/>
      <c r="J137" s="37" t="n"/>
    </row>
    <row r="138" ht="15" customHeight="1" s="62">
      <c r="A138" s="54" t="n"/>
      <c r="B138" s="33" t="n"/>
      <c r="C138" s="34" t="n"/>
      <c r="D138" s="34" t="n"/>
      <c r="E138" s="35" t="n"/>
      <c r="F138" s="35" t="n"/>
      <c r="G138" s="41" t="n"/>
      <c r="H138" s="34" t="n"/>
      <c r="I138" s="36" t="n"/>
      <c r="J138" s="37" t="n"/>
    </row>
    <row r="139" ht="15" customHeight="1" s="62">
      <c r="A139" s="54" t="n"/>
      <c r="B139" s="33" t="n"/>
      <c r="C139" s="34" t="n"/>
      <c r="D139" s="34" t="n"/>
      <c r="E139" s="35" t="n"/>
      <c r="F139" s="35" t="n"/>
      <c r="G139" s="41" t="n"/>
      <c r="H139" s="34" t="n"/>
      <c r="I139" s="36" t="n"/>
      <c r="J139" s="37" t="n"/>
    </row>
    <row r="140" ht="15" customHeight="1" s="62">
      <c r="A140" s="54" t="n"/>
      <c r="B140" s="33" t="n"/>
      <c r="C140" s="34" t="n"/>
      <c r="D140" s="34" t="n"/>
      <c r="E140" s="35" t="n"/>
      <c r="F140" s="35" t="n"/>
      <c r="G140" s="41" t="n"/>
      <c r="H140" s="34" t="n"/>
      <c r="I140" s="36" t="n"/>
      <c r="J140" s="37" t="n"/>
    </row>
    <row r="141" ht="15" customHeight="1" s="62">
      <c r="A141" s="54" t="n"/>
      <c r="B141" s="33" t="n"/>
      <c r="C141" s="34" t="n"/>
      <c r="D141" s="34" t="n"/>
      <c r="E141" s="35" t="n"/>
      <c r="F141" s="35" t="n"/>
      <c r="G141" s="41" t="n"/>
      <c r="H141" s="34" t="n"/>
      <c r="I141" s="36" t="n"/>
      <c r="J141" s="37" t="n"/>
    </row>
    <row r="142" ht="15" customHeight="1" s="62">
      <c r="A142" s="54" t="n"/>
      <c r="B142" s="33" t="n"/>
      <c r="C142" s="34" t="n"/>
      <c r="D142" s="34" t="n"/>
      <c r="E142" s="35" t="n"/>
      <c r="F142" s="35" t="n"/>
      <c r="G142" s="41" t="n"/>
      <c r="H142" s="34" t="n"/>
      <c r="I142" s="36" t="n"/>
      <c r="J142" s="37" t="n"/>
    </row>
    <row r="143" ht="15" customHeight="1" s="62">
      <c r="A143" s="54" t="n"/>
      <c r="B143" s="33" t="n"/>
      <c r="C143" s="34" t="n"/>
      <c r="D143" s="34" t="n"/>
      <c r="E143" s="35" t="n"/>
      <c r="F143" s="35" t="n"/>
      <c r="G143" s="41" t="n"/>
      <c r="H143" s="34" t="n"/>
      <c r="I143" s="36" t="n"/>
      <c r="J143" s="37" t="n"/>
    </row>
    <row r="144" ht="15" customHeight="1" s="62">
      <c r="A144" s="54" t="n"/>
      <c r="B144" s="33" t="n"/>
      <c r="C144" s="34" t="n"/>
      <c r="D144" s="34" t="n"/>
      <c r="E144" s="35" t="n"/>
      <c r="F144" s="35" t="n"/>
      <c r="G144" s="41" t="n"/>
      <c r="H144" s="34" t="n"/>
      <c r="I144" s="36" t="n"/>
      <c r="J144" s="37" t="n"/>
    </row>
    <row r="145" ht="15" customHeight="1" s="62">
      <c r="A145" s="54" t="n"/>
      <c r="B145" s="33" t="n"/>
      <c r="C145" s="34" t="n"/>
      <c r="D145" s="34" t="n"/>
      <c r="E145" s="35" t="n"/>
      <c r="F145" s="35" t="n"/>
      <c r="G145" s="41" t="n"/>
      <c r="H145" s="34" t="n"/>
      <c r="I145" s="36" t="n"/>
      <c r="J145" s="37" t="n"/>
    </row>
    <row r="146" ht="15" customHeight="1" s="62">
      <c r="A146" s="54" t="n"/>
      <c r="B146" s="33" t="n"/>
      <c r="C146" s="34" t="n"/>
      <c r="D146" s="34" t="n"/>
      <c r="E146" s="35" t="n"/>
      <c r="F146" s="35" t="n"/>
      <c r="G146" s="41" t="n"/>
      <c r="H146" s="34" t="n"/>
      <c r="I146" s="36" t="n"/>
      <c r="J146" s="37" t="n"/>
    </row>
    <row r="147" ht="15" customHeight="1" s="62">
      <c r="A147" s="54" t="n"/>
      <c r="B147" s="33" t="n"/>
      <c r="C147" s="34" t="n"/>
      <c r="D147" s="34" t="n"/>
      <c r="E147" s="35" t="n"/>
      <c r="F147" s="35" t="n"/>
      <c r="G147" s="41" t="n"/>
      <c r="H147" s="34" t="n"/>
      <c r="I147" s="36" t="n"/>
      <c r="J147" s="37" t="n"/>
    </row>
    <row r="148" ht="15" customHeight="1" s="62">
      <c r="A148" s="54" t="n"/>
      <c r="B148" s="33" t="n"/>
      <c r="C148" s="34" t="n"/>
      <c r="D148" s="34" t="n"/>
      <c r="E148" s="35" t="n"/>
      <c r="F148" s="35" t="n"/>
      <c r="G148" s="41" t="n"/>
      <c r="H148" s="34" t="n"/>
      <c r="I148" s="36" t="n"/>
      <c r="J148" s="37" t="n"/>
    </row>
    <row r="149" ht="15" customHeight="1" s="62">
      <c r="A149" s="54" t="n"/>
      <c r="B149" s="33" t="n"/>
      <c r="C149" s="34" t="n"/>
      <c r="D149" s="34" t="n"/>
      <c r="E149" s="35" t="n"/>
      <c r="F149" s="35" t="n"/>
      <c r="G149" s="41" t="n"/>
      <c r="H149" s="34" t="n"/>
      <c r="I149" s="36" t="n"/>
      <c r="J149" s="37" t="n"/>
    </row>
    <row r="150" ht="15" customHeight="1" s="62">
      <c r="A150" s="54" t="n"/>
      <c r="B150" s="33" t="n"/>
      <c r="C150" s="34" t="n"/>
      <c r="D150" s="34" t="n"/>
      <c r="E150" s="35" t="n"/>
      <c r="F150" s="35" t="n"/>
      <c r="G150" s="41" t="n"/>
      <c r="H150" s="34" t="n"/>
      <c r="I150" s="36" t="n"/>
      <c r="J150" s="37" t="n"/>
    </row>
    <row r="151" ht="15" customHeight="1" s="62">
      <c r="A151" s="54" t="n"/>
      <c r="B151" s="33" t="n"/>
      <c r="C151" s="34" t="n"/>
      <c r="D151" s="34" t="n"/>
      <c r="E151" s="35" t="n"/>
      <c r="F151" s="35" t="n"/>
      <c r="G151" s="41" t="n"/>
      <c r="H151" s="34" t="n"/>
      <c r="I151" s="36" t="n"/>
      <c r="J151" s="37" t="n"/>
    </row>
    <row r="152" ht="15" customHeight="1" s="62">
      <c r="A152" s="54" t="n"/>
      <c r="B152" s="33" t="n"/>
      <c r="C152" s="34" t="n"/>
      <c r="D152" s="34" t="n"/>
      <c r="E152" s="35" t="n"/>
      <c r="F152" s="35" t="n"/>
      <c r="G152" s="41" t="n"/>
      <c r="H152" s="34" t="n"/>
      <c r="I152" s="36" t="n"/>
      <c r="J152" s="37" t="n"/>
    </row>
    <row r="153" ht="15" customHeight="1" s="62">
      <c r="A153" s="54" t="n"/>
      <c r="B153" s="33" t="n"/>
      <c r="C153" s="34" t="n"/>
      <c r="D153" s="34" t="n"/>
      <c r="E153" s="35" t="n"/>
      <c r="F153" s="35" t="n"/>
      <c r="G153" s="41" t="n"/>
      <c r="H153" s="34" t="n"/>
      <c r="I153" s="36" t="n"/>
      <c r="J153" s="37" t="n"/>
    </row>
    <row r="154" ht="15" customHeight="1" s="62">
      <c r="A154" s="54" t="n"/>
      <c r="B154" s="33" t="n"/>
      <c r="C154" s="34" t="n"/>
      <c r="D154" s="34" t="n"/>
      <c r="E154" s="35" t="n"/>
      <c r="F154" s="35" t="n"/>
      <c r="G154" s="41" t="n"/>
      <c r="H154" s="34" t="n"/>
      <c r="I154" s="36" t="n"/>
      <c r="J154" s="37" t="n"/>
    </row>
    <row r="155" ht="15" customHeight="1" s="62">
      <c r="A155" s="54" t="n"/>
      <c r="B155" s="33" t="n"/>
      <c r="C155" s="34" t="n"/>
      <c r="D155" s="34" t="n"/>
      <c r="E155" s="35" t="n"/>
      <c r="F155" s="35" t="n"/>
      <c r="G155" s="41" t="n"/>
      <c r="H155" s="34" t="n"/>
      <c r="I155" s="36" t="n"/>
      <c r="J155" s="37" t="n"/>
    </row>
    <row r="156" ht="15" customHeight="1" s="62">
      <c r="A156" s="54" t="n"/>
      <c r="B156" s="33" t="n"/>
      <c r="C156" s="34" t="n"/>
      <c r="D156" s="34" t="n"/>
      <c r="E156" s="35" t="n"/>
      <c r="F156" s="35" t="n"/>
      <c r="G156" s="41" t="n"/>
      <c r="H156" s="34" t="n"/>
      <c r="I156" s="36" t="n"/>
      <c r="J156" s="37" t="n"/>
    </row>
    <row r="157" ht="15" customHeight="1" s="62">
      <c r="A157" s="54" t="n"/>
      <c r="B157" s="33" t="n"/>
      <c r="C157" s="34" t="n"/>
      <c r="D157" s="34" t="n"/>
      <c r="E157" s="35" t="n"/>
      <c r="F157" s="35" t="n"/>
      <c r="G157" s="41" t="n"/>
      <c r="H157" s="34" t="n"/>
      <c r="I157" s="36" t="n"/>
      <c r="J157" s="37" t="n"/>
    </row>
    <row r="158" ht="15" customHeight="1" s="62">
      <c r="A158" s="54" t="n"/>
      <c r="B158" s="33" t="n"/>
      <c r="C158" s="34" t="n"/>
      <c r="D158" s="34" t="n"/>
      <c r="E158" s="35" t="n"/>
      <c r="F158" s="35" t="n"/>
      <c r="G158" s="41" t="n"/>
      <c r="H158" s="34" t="n"/>
      <c r="I158" s="36" t="n"/>
      <c r="J158" s="37" t="n"/>
    </row>
    <row r="159" ht="15" customHeight="1" s="62">
      <c r="A159" s="54" t="n"/>
      <c r="B159" s="33" t="n"/>
      <c r="C159" s="34" t="n"/>
      <c r="D159" s="34" t="n"/>
      <c r="E159" s="35" t="n"/>
      <c r="F159" s="35" t="n"/>
      <c r="G159" s="41" t="n"/>
      <c r="H159" s="34" t="n"/>
      <c r="I159" s="36" t="n"/>
      <c r="J159" s="37" t="n"/>
    </row>
    <row r="160" ht="15" customHeight="1" s="62">
      <c r="A160" s="54" t="n"/>
      <c r="B160" s="33" t="n"/>
      <c r="C160" s="34" t="n"/>
      <c r="D160" s="34" t="n"/>
      <c r="E160" s="35" t="n"/>
      <c r="F160" s="35" t="n"/>
      <c r="G160" s="41" t="n"/>
      <c r="H160" s="34" t="n"/>
      <c r="I160" s="36" t="n"/>
      <c r="J160" s="37" t="n"/>
    </row>
    <row r="161" ht="15" customHeight="1" s="62">
      <c r="A161" s="54" t="n"/>
      <c r="B161" s="33" t="n"/>
      <c r="C161" s="34" t="n"/>
      <c r="D161" s="34" t="n"/>
      <c r="E161" s="35" t="n"/>
      <c r="F161" s="35" t="n"/>
      <c r="G161" s="41" t="n"/>
      <c r="H161" s="34" t="n"/>
      <c r="I161" s="36" t="n"/>
      <c r="J161" s="37" t="n"/>
    </row>
    <row r="162" ht="15" customHeight="1" s="62">
      <c r="A162" s="54" t="n"/>
      <c r="B162" s="33" t="n"/>
      <c r="C162" s="34" t="n"/>
      <c r="D162" s="34" t="n"/>
      <c r="E162" s="35" t="n"/>
      <c r="F162" s="35" t="n"/>
      <c r="G162" s="41" t="n"/>
      <c r="H162" s="34" t="n"/>
      <c r="I162" s="36" t="n"/>
      <c r="J162" s="37" t="n"/>
    </row>
    <row r="163" ht="15" customHeight="1" s="62">
      <c r="A163" s="54" t="n"/>
      <c r="B163" s="33" t="n"/>
      <c r="C163" s="34" t="n"/>
      <c r="D163" s="34" t="n"/>
      <c r="E163" s="35" t="n"/>
      <c r="F163" s="35" t="n"/>
      <c r="G163" s="41" t="n"/>
      <c r="H163" s="34" t="n"/>
      <c r="I163" s="36" t="n"/>
      <c r="J163" s="37" t="n"/>
    </row>
    <row r="164" ht="15" customHeight="1" s="62">
      <c r="A164" s="54" t="n"/>
      <c r="B164" s="33" t="n"/>
      <c r="C164" s="34" t="n"/>
      <c r="D164" s="34" t="n"/>
      <c r="E164" s="35" t="n"/>
      <c r="F164" s="35" t="n"/>
      <c r="G164" s="41" t="n"/>
      <c r="H164" s="34" t="n"/>
      <c r="I164" s="36" t="n"/>
      <c r="J164" s="37" t="n"/>
    </row>
    <row r="165" ht="15" customHeight="1" s="62">
      <c r="A165" s="54" t="n"/>
      <c r="B165" s="33" t="n"/>
      <c r="C165" s="34" t="n"/>
      <c r="D165" s="34" t="n"/>
      <c r="E165" s="35" t="n"/>
      <c r="F165" s="35" t="n"/>
      <c r="G165" s="41" t="n"/>
      <c r="H165" s="34" t="n"/>
      <c r="I165" s="36" t="n"/>
      <c r="J165" s="37" t="n"/>
    </row>
    <row r="166" ht="15" customHeight="1" s="62">
      <c r="A166" s="54" t="n"/>
      <c r="B166" s="33" t="n"/>
      <c r="C166" s="34" t="n"/>
      <c r="D166" s="34" t="n"/>
      <c r="E166" s="35" t="n"/>
      <c r="F166" s="35" t="n"/>
      <c r="G166" s="41" t="n"/>
      <c r="H166" s="34" t="n"/>
      <c r="I166" s="36" t="n"/>
      <c r="J166" s="37" t="n"/>
    </row>
    <row r="167" ht="15" customHeight="1" s="62">
      <c r="A167" s="54" t="n"/>
      <c r="B167" s="33" t="n"/>
      <c r="C167" s="34" t="n"/>
      <c r="D167" s="34" t="n"/>
      <c r="E167" s="35" t="n"/>
      <c r="F167" s="35" t="n"/>
      <c r="G167" s="41" t="n"/>
      <c r="H167" s="34" t="n"/>
      <c r="I167" s="36" t="n"/>
      <c r="J167" s="37" t="n"/>
    </row>
    <row r="168" ht="15" customHeight="1" s="62">
      <c r="A168" s="54" t="n"/>
      <c r="B168" s="33" t="n"/>
      <c r="C168" s="34" t="n"/>
      <c r="D168" s="34" t="n"/>
      <c r="E168" s="35" t="n"/>
      <c r="F168" s="35" t="n"/>
      <c r="G168" s="41" t="n"/>
      <c r="H168" s="34" t="n"/>
      <c r="I168" s="36" t="n"/>
      <c r="J168" s="37" t="n"/>
    </row>
    <row r="169" ht="15" customHeight="1" s="62">
      <c r="A169" s="54" t="n"/>
      <c r="B169" s="33" t="n"/>
      <c r="C169" s="34" t="n"/>
      <c r="D169" s="34" t="n"/>
      <c r="E169" s="35" t="n"/>
      <c r="F169" s="35" t="n"/>
      <c r="G169" s="41" t="n"/>
      <c r="H169" s="34" t="n"/>
      <c r="I169" s="36" t="n"/>
      <c r="J169" s="37" t="n"/>
    </row>
    <row r="170" ht="15" customHeight="1" s="62">
      <c r="A170" s="54" t="n"/>
      <c r="B170" s="33" t="n"/>
      <c r="C170" s="34" t="n"/>
      <c r="D170" s="34" t="n"/>
      <c r="E170" s="35" t="n"/>
      <c r="F170" s="35" t="n"/>
      <c r="G170" s="41" t="n"/>
      <c r="H170" s="34" t="n"/>
      <c r="I170" s="36" t="n"/>
      <c r="J170" s="37" t="n"/>
    </row>
    <row r="171" ht="15" customHeight="1" s="62">
      <c r="A171" s="54" t="n"/>
      <c r="B171" s="33" t="n"/>
      <c r="C171" s="34" t="n"/>
      <c r="D171" s="34" t="n"/>
      <c r="E171" s="35" t="n"/>
      <c r="F171" s="35" t="n"/>
      <c r="G171" s="41" t="n"/>
      <c r="H171" s="34" t="n"/>
      <c r="I171" s="36" t="n"/>
      <c r="J171" s="37" t="n"/>
    </row>
    <row r="172" ht="15" customHeight="1" s="62">
      <c r="A172" s="54" t="n"/>
      <c r="B172" s="33" t="n"/>
      <c r="C172" s="34" t="n"/>
      <c r="D172" s="34" t="n"/>
      <c r="E172" s="35" t="n"/>
      <c r="F172" s="35" t="n"/>
      <c r="G172" s="41" t="n"/>
      <c r="H172" s="34" t="n"/>
      <c r="I172" s="36" t="n"/>
      <c r="J172" s="37" t="n"/>
    </row>
    <row r="173" ht="15" customHeight="1" s="62">
      <c r="A173" s="54" t="n"/>
      <c r="B173" s="33" t="n"/>
      <c r="C173" s="34" t="n"/>
      <c r="D173" s="34" t="n"/>
      <c r="E173" s="35" t="n"/>
      <c r="F173" s="35" t="n"/>
      <c r="G173" s="41" t="n"/>
      <c r="H173" s="34" t="n"/>
      <c r="I173" s="36" t="n"/>
      <c r="J173" s="37" t="n"/>
    </row>
    <row r="174" ht="15" customHeight="1" s="62">
      <c r="A174" s="54" t="n"/>
      <c r="B174" s="33" t="n"/>
      <c r="C174" s="34" t="n"/>
      <c r="D174" s="34" t="n"/>
      <c r="E174" s="35" t="n"/>
      <c r="F174" s="35" t="n"/>
      <c r="G174" s="41" t="n"/>
      <c r="H174" s="34" t="n"/>
      <c r="I174" s="36" t="n"/>
      <c r="J174" s="37" t="n"/>
    </row>
    <row r="175" ht="15" customHeight="1" s="62">
      <c r="A175" s="54" t="n"/>
      <c r="B175" s="33" t="n"/>
      <c r="C175" s="34" t="n"/>
      <c r="D175" s="34" t="n"/>
      <c r="E175" s="35" t="n"/>
      <c r="F175" s="35" t="n"/>
      <c r="G175" s="41" t="n"/>
      <c r="H175" s="34" t="n"/>
      <c r="I175" s="36" t="n"/>
      <c r="J175" s="37" t="n"/>
    </row>
    <row r="176" ht="15" customHeight="1" s="62">
      <c r="A176" s="54" t="n"/>
      <c r="B176" s="33" t="n"/>
      <c r="C176" s="34" t="n"/>
      <c r="D176" s="34" t="n"/>
      <c r="E176" s="35" t="n"/>
      <c r="F176" s="35" t="n"/>
      <c r="G176" s="41" t="n"/>
      <c r="H176" s="34" t="n"/>
      <c r="I176" s="36" t="n"/>
      <c r="J176" s="37" t="n"/>
    </row>
    <row r="177" ht="15" customHeight="1" s="62">
      <c r="A177" s="54" t="n"/>
      <c r="B177" s="33" t="n"/>
      <c r="C177" s="34" t="n"/>
      <c r="D177" s="34" t="n"/>
      <c r="E177" s="35" t="n"/>
      <c r="F177" s="35" t="n"/>
      <c r="G177" s="41" t="n"/>
      <c r="H177" s="34" t="n"/>
      <c r="I177" s="36" t="n"/>
      <c r="J177" s="37" t="n"/>
    </row>
    <row r="178" ht="15" customHeight="1" s="62">
      <c r="A178" s="54" t="n"/>
      <c r="B178" s="33" t="n"/>
      <c r="C178" s="34" t="n"/>
      <c r="D178" s="34" t="n"/>
      <c r="E178" s="35" t="n"/>
      <c r="F178" s="35" t="n"/>
      <c r="G178" s="41" t="n"/>
      <c r="H178" s="34" t="n"/>
      <c r="I178" s="36" t="n"/>
      <c r="J178" s="37" t="n"/>
    </row>
    <row r="179" ht="15" customHeight="1" s="62">
      <c r="A179" s="54" t="n"/>
      <c r="B179" s="33" t="n"/>
      <c r="C179" s="34" t="n"/>
      <c r="D179" s="34" t="n"/>
      <c r="E179" s="35" t="n"/>
      <c r="F179" s="35" t="n"/>
      <c r="G179" s="41" t="n"/>
      <c r="H179" s="34" t="n"/>
      <c r="I179" s="36" t="n"/>
      <c r="J179" s="37" t="n"/>
    </row>
    <row r="180" ht="15" customHeight="1" s="62">
      <c r="A180" s="54" t="n"/>
      <c r="B180" s="33" t="n"/>
      <c r="C180" s="34" t="n"/>
      <c r="D180" s="34" t="n"/>
      <c r="E180" s="35" t="n"/>
      <c r="F180" s="35" t="n"/>
      <c r="G180" s="41" t="n"/>
      <c r="H180" s="34" t="n"/>
      <c r="I180" s="36" t="n"/>
      <c r="J180" s="37" t="n"/>
    </row>
    <row r="181" ht="15" customHeight="1" s="62">
      <c r="A181" s="54" t="n"/>
      <c r="B181" s="33" t="n"/>
      <c r="C181" s="34" t="n"/>
      <c r="D181" s="34" t="n"/>
      <c r="E181" s="35" t="n"/>
      <c r="F181" s="35" t="n"/>
      <c r="G181" s="41" t="n"/>
      <c r="H181" s="34" t="n"/>
      <c r="I181" s="36" t="n"/>
      <c r="J181" s="37" t="n"/>
    </row>
    <row r="182" ht="15" customHeight="1" s="62">
      <c r="A182" s="54" t="n"/>
      <c r="B182" s="33" t="n"/>
      <c r="C182" s="34" t="n"/>
      <c r="D182" s="34" t="n"/>
      <c r="E182" s="35" t="n"/>
      <c r="F182" s="35" t="n"/>
      <c r="G182" s="41" t="n"/>
      <c r="H182" s="34" t="n"/>
      <c r="I182" s="36" t="n"/>
      <c r="J182" s="37" t="n"/>
    </row>
    <row r="183" ht="15" customHeight="1" s="62">
      <c r="A183" s="54" t="n"/>
      <c r="B183" s="33" t="n"/>
      <c r="C183" s="34" t="n"/>
      <c r="D183" s="34" t="n"/>
      <c r="E183" s="35" t="n"/>
      <c r="F183" s="35" t="n"/>
      <c r="G183" s="41" t="n"/>
      <c r="H183" s="34" t="n"/>
      <c r="I183" s="36" t="n"/>
      <c r="J183" s="37" t="n"/>
    </row>
    <row r="184" ht="15" customHeight="1" s="62">
      <c r="A184" s="54" t="n"/>
      <c r="B184" s="33" t="n"/>
      <c r="C184" s="34" t="n"/>
      <c r="D184" s="34" t="n"/>
      <c r="E184" s="35" t="n"/>
      <c r="F184" s="35" t="n"/>
      <c r="G184" s="41" t="n"/>
      <c r="H184" s="34" t="n"/>
      <c r="I184" s="36" t="n"/>
      <c r="J184" s="37" t="n"/>
    </row>
    <row r="185" ht="15" customHeight="1" s="62">
      <c r="A185" s="54" t="n"/>
      <c r="B185" s="33" t="n"/>
      <c r="C185" s="34" t="n"/>
      <c r="D185" s="34" t="n"/>
      <c r="E185" s="35" t="n"/>
      <c r="F185" s="35" t="n"/>
      <c r="G185" s="41" t="n"/>
      <c r="H185" s="34" t="n"/>
      <c r="I185" s="36" t="n"/>
      <c r="J185" s="37" t="n"/>
    </row>
    <row r="186" ht="15" customHeight="1" s="62">
      <c r="A186" s="54" t="n"/>
      <c r="B186" s="33" t="n"/>
      <c r="C186" s="34" t="n"/>
      <c r="D186" s="34" t="n"/>
      <c r="E186" s="35" t="n"/>
      <c r="F186" s="35" t="n"/>
      <c r="G186" s="41" t="n"/>
      <c r="H186" s="34" t="n"/>
      <c r="I186" s="36" t="n"/>
      <c r="J186" s="37" t="n"/>
    </row>
    <row r="187" ht="15" customHeight="1" s="62">
      <c r="A187" s="54" t="n"/>
      <c r="B187" s="33" t="n"/>
      <c r="C187" s="34" t="n"/>
      <c r="D187" s="34" t="n"/>
      <c r="E187" s="35" t="n"/>
      <c r="F187" s="35" t="n"/>
      <c r="G187" s="41" t="n"/>
      <c r="H187" s="34" t="n"/>
      <c r="I187" s="36" t="n"/>
      <c r="J187" s="37" t="n"/>
    </row>
    <row r="188" ht="15" customHeight="1" s="62">
      <c r="A188" s="54" t="n"/>
      <c r="B188" s="33" t="n"/>
      <c r="C188" s="34" t="n"/>
      <c r="D188" s="34" t="n"/>
      <c r="E188" s="35" t="n"/>
      <c r="F188" s="35" t="n"/>
      <c r="G188" s="41" t="n"/>
      <c r="H188" s="34" t="n"/>
      <c r="I188" s="36" t="n"/>
      <c r="J188" s="37" t="n"/>
    </row>
    <row r="189" ht="15" customHeight="1" s="62">
      <c r="A189" s="54" t="n"/>
      <c r="B189" s="33" t="n"/>
      <c r="C189" s="34" t="n"/>
      <c r="D189" s="34" t="n"/>
      <c r="E189" s="35" t="n"/>
      <c r="F189" s="35" t="n"/>
      <c r="G189" s="41" t="n"/>
      <c r="H189" s="34" t="n"/>
      <c r="I189" s="36" t="n"/>
      <c r="J189" s="37" t="n"/>
    </row>
    <row r="190" ht="15" customHeight="1" s="62">
      <c r="A190" s="54" t="n"/>
      <c r="B190" s="33" t="n"/>
      <c r="C190" s="34" t="n"/>
      <c r="D190" s="34" t="n"/>
      <c r="E190" s="35" t="n"/>
      <c r="F190" s="35" t="n"/>
      <c r="G190" s="41" t="n"/>
      <c r="H190" s="34" t="n"/>
      <c r="I190" s="36" t="n"/>
      <c r="J190" s="37" t="n"/>
    </row>
    <row r="191" ht="15" customHeight="1" s="62">
      <c r="A191" s="54" t="n"/>
      <c r="B191" s="33" t="n"/>
      <c r="C191" s="34" t="n"/>
      <c r="D191" s="34" t="n"/>
      <c r="E191" s="35" t="n"/>
      <c r="F191" s="35" t="n"/>
      <c r="G191" s="41" t="n"/>
      <c r="H191" s="34" t="n"/>
      <c r="I191" s="36" t="n"/>
      <c r="J191" s="37" t="n"/>
    </row>
    <row r="192" ht="15" customHeight="1" s="62">
      <c r="A192" s="54" t="n"/>
      <c r="B192" s="33" t="n"/>
      <c r="C192" s="34" t="n"/>
      <c r="D192" s="34" t="n"/>
      <c r="E192" s="35" t="n"/>
      <c r="F192" s="35" t="n"/>
      <c r="G192" s="41" t="n"/>
      <c r="H192" s="34" t="n"/>
      <c r="I192" s="36" t="n"/>
      <c r="J192" s="37" t="n"/>
    </row>
    <row r="193" ht="15" customHeight="1" s="62">
      <c r="A193" s="54" t="n"/>
      <c r="B193" s="33" t="n"/>
      <c r="C193" s="34" t="n"/>
      <c r="D193" s="34" t="n"/>
      <c r="E193" s="35" t="n"/>
      <c r="F193" s="35" t="n"/>
      <c r="G193" s="41" t="n"/>
      <c r="H193" s="34" t="n"/>
      <c r="I193" s="36" t="n"/>
      <c r="J193" s="37" t="n"/>
    </row>
    <row r="194" ht="15" customHeight="1" s="62">
      <c r="A194" s="54" t="n"/>
      <c r="B194" s="33" t="n"/>
      <c r="C194" s="34" t="n"/>
      <c r="D194" s="34" t="n"/>
      <c r="E194" s="35" t="n"/>
      <c r="F194" s="35" t="n"/>
      <c r="G194" s="41" t="n"/>
      <c r="H194" s="34" t="n"/>
      <c r="I194" s="36" t="n"/>
      <c r="J194" s="37" t="n"/>
    </row>
    <row r="195" ht="15" customHeight="1" s="62">
      <c r="A195" s="54" t="n"/>
      <c r="B195" s="33" t="n"/>
      <c r="C195" s="34" t="n"/>
      <c r="D195" s="34" t="n"/>
      <c r="E195" s="35" t="n"/>
      <c r="F195" s="35" t="n"/>
      <c r="G195" s="41" t="n"/>
      <c r="H195" s="34" t="n"/>
      <c r="I195" s="36" t="n"/>
      <c r="J195" s="37" t="n"/>
    </row>
    <row r="196" ht="15" customHeight="1" s="62">
      <c r="A196" s="54" t="n"/>
      <c r="B196" s="33" t="n"/>
      <c r="C196" s="34" t="n"/>
      <c r="D196" s="34" t="n"/>
      <c r="E196" s="35" t="n"/>
      <c r="F196" s="35" t="n"/>
      <c r="G196" s="41" t="n"/>
      <c r="H196" s="34" t="n"/>
      <c r="I196" s="36" t="n"/>
      <c r="J196" s="37" t="n"/>
    </row>
    <row r="197" ht="15" customHeight="1" s="62">
      <c r="A197" s="54" t="n"/>
      <c r="B197" s="33" t="n"/>
      <c r="C197" s="34" t="n"/>
      <c r="D197" s="34" t="n"/>
      <c r="E197" s="35" t="n"/>
      <c r="F197" s="35" t="n"/>
      <c r="G197" s="41" t="n"/>
      <c r="H197" s="34" t="n"/>
      <c r="I197" s="36" t="n"/>
      <c r="J197" s="37" t="n"/>
    </row>
    <row r="198" ht="15" customHeight="1" s="62">
      <c r="A198" s="54" t="n"/>
      <c r="B198" s="33" t="n"/>
      <c r="C198" s="34" t="n"/>
      <c r="D198" s="34" t="n"/>
      <c r="E198" s="35" t="n"/>
      <c r="F198" s="35" t="n"/>
      <c r="G198" s="41" t="n"/>
      <c r="H198" s="34" t="n"/>
      <c r="I198" s="36" t="n"/>
      <c r="J198" s="37" t="n"/>
    </row>
    <row r="199" ht="15" customHeight="1" s="62">
      <c r="A199" s="54" t="n"/>
      <c r="B199" s="33" t="n"/>
      <c r="C199" s="34" t="n"/>
      <c r="D199" s="34" t="n"/>
      <c r="E199" s="35" t="n"/>
      <c r="F199" s="35" t="n"/>
      <c r="G199" s="41" t="n"/>
      <c r="H199" s="34" t="n"/>
      <c r="I199" s="36" t="n"/>
      <c r="J199" s="37" t="n"/>
    </row>
    <row r="200" ht="15" customHeight="1" s="62">
      <c r="A200" s="54" t="n"/>
      <c r="B200" s="33" t="n"/>
      <c r="C200" s="34" t="n"/>
      <c r="D200" s="34" t="n"/>
      <c r="E200" s="35" t="n"/>
      <c r="F200" s="35" t="n"/>
      <c r="G200" s="41" t="n"/>
      <c r="H200" s="34" t="n"/>
      <c r="I200" s="36" t="n"/>
      <c r="J200" s="37" t="n"/>
    </row>
    <row r="201" ht="15" customHeight="1" s="62">
      <c r="A201" s="54" t="n"/>
      <c r="B201" s="33" t="n"/>
      <c r="C201" s="34" t="n"/>
      <c r="D201" s="34" t="n"/>
      <c r="E201" s="35" t="n"/>
      <c r="F201" s="35" t="n"/>
      <c r="G201" s="41" t="n"/>
      <c r="H201" s="34" t="n"/>
      <c r="I201" s="36" t="n"/>
      <c r="J201" s="37" t="n"/>
    </row>
    <row r="202" ht="15" customHeight="1" s="62">
      <c r="A202" s="54" t="n"/>
      <c r="B202" s="33" t="n"/>
      <c r="C202" s="34" t="n"/>
      <c r="D202" s="34" t="n"/>
      <c r="E202" s="35" t="n"/>
      <c r="F202" s="35" t="n"/>
      <c r="G202" s="41" t="n"/>
      <c r="H202" s="34" t="n"/>
      <c r="I202" s="36" t="n"/>
      <c r="J202" s="37" t="n"/>
    </row>
    <row r="203" ht="15" customHeight="1" s="62">
      <c r="A203" s="54" t="n"/>
      <c r="B203" s="33" t="n"/>
      <c r="C203" s="34" t="n"/>
      <c r="D203" s="34" t="n"/>
      <c r="E203" s="35" t="n"/>
      <c r="F203" s="35" t="n"/>
      <c r="G203" s="41" t="n"/>
      <c r="H203" s="34" t="n"/>
      <c r="I203" s="36" t="n"/>
      <c r="J203" s="37" t="n"/>
    </row>
    <row r="204" ht="15" customHeight="1" s="62">
      <c r="A204" s="54" t="n"/>
      <c r="B204" s="33" t="n"/>
      <c r="C204" s="34" t="n"/>
      <c r="D204" s="34" t="n"/>
      <c r="E204" s="35" t="n"/>
      <c r="F204" s="35" t="n"/>
      <c r="G204" s="41" t="n"/>
      <c r="H204" s="34" t="n"/>
      <c r="I204" s="36" t="n"/>
      <c r="J204" s="37" t="n"/>
    </row>
    <row r="205" ht="15" customHeight="1" s="62">
      <c r="A205" s="54" t="n"/>
      <c r="B205" s="33" t="n"/>
      <c r="C205" s="34" t="n"/>
      <c r="D205" s="34" t="n"/>
      <c r="E205" s="35" t="n"/>
      <c r="F205" s="35" t="n"/>
      <c r="G205" s="41" t="n"/>
      <c r="H205" s="34" t="n"/>
      <c r="I205" s="36" t="n"/>
      <c r="J205" s="37" t="n"/>
    </row>
    <row r="206" ht="15" customHeight="1" s="62">
      <c r="A206" s="54" t="n"/>
      <c r="B206" s="33" t="n"/>
      <c r="C206" s="34" t="n"/>
      <c r="D206" s="34" t="n"/>
      <c r="E206" s="35" t="n"/>
      <c r="F206" s="35" t="n"/>
      <c r="G206" s="41" t="n"/>
      <c r="H206" s="34" t="n"/>
      <c r="I206" s="36" t="n"/>
      <c r="J206" s="37" t="n"/>
    </row>
  </sheetData>
  <mergeCells count="3">
    <mergeCell ref="A1:J1"/>
    <mergeCell ref="A4:J4"/>
    <mergeCell ref="A2:J2"/>
  </mergeCells>
  <conditionalFormatting sqref="A6:H101 J6:J101">
    <cfRule type="expression" priority="9" dxfId="1">
      <formula>$C6="Monthly Rent Charge"</formula>
    </cfRule>
    <cfRule type="expression" priority="11" dxfId="0">
      <formula>$C6="Payment Received"</formula>
    </cfRule>
  </conditionalFormatting>
  <conditionalFormatting sqref="H3 I6:I101">
    <cfRule type="cellIs" priority="16" operator="lessThan" dxfId="3">
      <formula>0</formula>
    </cfRule>
    <cfRule type="cellIs" priority="17" operator="equal" dxfId="3">
      <formula>0</formula>
    </cfRule>
    <cfRule type="cellIs" priority="18" operator="greaterThan" dxfId="2">
      <formula>0</formula>
    </cfRule>
  </conditionalFormatting>
  <dataValidations count="3">
    <dataValidation sqref="B6:B32" showDropDown="0" showInputMessage="0" showErrorMessage="0" allowBlank="1" type="list">
      <formula1>"January,February,March,April,May,June,July,August,September,October,November,December"</formula1>
      <formula2>0</formula2>
    </dataValidation>
    <dataValidation sqref="C6:C32" showDropDown="0" showInputMessage="0" showErrorMessage="0" allowBlank="1" type="list">
      <formula1>"Monthly Rent Charge,Payment Received"</formula1>
      <formula2>0</formula2>
    </dataValidation>
    <dataValidation sqref="A6:A206" showDropDown="0" showInputMessage="1" showErrorMessage="1" allowBlank="1" errorTitle="Invalid date" error="Please enter a valid date." promptTitle="Select a date" prompt="Use the date picker or enter a valid payment date here." type="date">
      <formula1>DATE(2000,1,1)</formula1>
      <formula2>DATE(2100,12,31)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06"/>
  <sheetViews>
    <sheetView topLeftCell="A67" zoomScale="115" zoomScaleNormal="115" workbookViewId="0">
      <selection activeCell="C83" sqref="C83"/>
    </sheetView>
  </sheetViews>
  <sheetFormatPr baseColWidth="8" defaultColWidth="8.6640625" defaultRowHeight="14.4"/>
  <cols>
    <col width="14" customWidth="1" style="62" min="1" max="1"/>
    <col width="24" customWidth="1" style="62" min="3" max="3"/>
    <col width="13.44140625" customWidth="1" style="62" min="4" max="4"/>
    <col width="15" customWidth="1" style="62" min="5" max="5"/>
    <col width="17" customWidth="1" style="62" min="6" max="6"/>
    <col width="18" customWidth="1" style="62" min="7" max="7"/>
    <col width="22" customWidth="1" style="62" min="8" max="8"/>
    <col width="17" customWidth="1" style="62" min="9" max="9"/>
    <col width="30" customWidth="1" style="62" min="10" max="10"/>
    <col width="12" customWidth="1" style="62" min="11" max="11"/>
    <col width="10" customWidth="1" style="62" min="12" max="12"/>
  </cols>
  <sheetData>
    <row r="1" ht="19.5" customHeight="1" s="62">
      <c r="A1" s="74" t="inlineStr">
        <is>
          <t>Unit C3 — Tenant Statement / Ledger</t>
        </is>
      </c>
    </row>
    <row r="2" ht="27.75" customHeight="1" s="62">
      <c r="A2" s="76" t="inlineStr">
        <is>
          <t>Select a month to create a Monthly Rent Charge: the date fills as the first day of that month (current year) and description fills automatically. For a payment, leave Month blank and choose Payment Received.</t>
        </is>
      </c>
    </row>
    <row r="3" ht="15" customHeight="1" s="62">
      <c r="A3" s="25" t="inlineStr">
        <is>
          <t>Unit</t>
        </is>
      </c>
      <c r="B3" s="25" t="inlineStr">
        <is>
          <t>C3</t>
        </is>
      </c>
      <c r="C3" s="25" t="inlineStr">
        <is>
          <t>Current Rent</t>
        </is>
      </c>
      <c r="D3" s="26" t="n">
        <v>5500</v>
      </c>
      <c r="E3" s="26" t="inlineStr">
        <is>
          <t>Garbage</t>
        </is>
      </c>
      <c r="F3" s="26" t="n">
        <v>200</v>
      </c>
      <c r="G3" s="25" t="inlineStr">
        <is>
          <t>Current Balance</t>
        </is>
      </c>
      <c r="H3" s="27">
        <f>IFERROR(LOOKUP(9.99E+307,I6:I91),0)</f>
        <v/>
      </c>
      <c r="I3" s="25" t="inlineStr">
        <is>
          <t>Tenant</t>
        </is>
      </c>
      <c r="J3" s="28" t="inlineStr">
        <is>
          <t>MILLICENT ODERA</t>
        </is>
      </c>
      <c r="K3" s="29" t="inlineStr">
        <is>
          <t>Deposit Held</t>
        </is>
      </c>
      <c r="L3" s="30" t="n">
        <v>0</v>
      </c>
    </row>
    <row r="4">
      <c r="A4" s="75" t="inlineStr">
        <is>
          <t>Current tenant only. When vacating → copy rows to Archive sheet, then clear this ledger.</t>
        </is>
      </c>
    </row>
    <row r="5" ht="15" customHeight="1" s="62">
      <c r="A5" s="31" t="inlineStr">
        <is>
          <t>Date</t>
        </is>
      </c>
      <c r="B5" s="31" t="inlineStr">
        <is>
          <t>Month</t>
        </is>
      </c>
      <c r="C5" s="31" t="inlineStr">
        <is>
          <t>Description</t>
        </is>
      </c>
      <c r="D5" s="31" t="inlineStr">
        <is>
          <t>Tenant</t>
        </is>
      </c>
      <c r="E5" s="31" t="inlineStr">
        <is>
          <t>Rent Charged</t>
        </is>
      </c>
      <c r="F5" s="31" t="inlineStr">
        <is>
          <t>Garbage Charged</t>
        </is>
      </c>
      <c r="G5" s="31" t="inlineStr">
        <is>
          <t>Payment Received</t>
        </is>
      </c>
      <c r="H5" s="31" t="inlineStr">
        <is>
          <t>M-Pesa Reference</t>
        </is>
      </c>
      <c r="I5" s="31" t="inlineStr">
        <is>
          <t>Running Balance</t>
        </is>
      </c>
      <c r="J5" s="31" t="inlineStr">
        <is>
          <t>Remarks</t>
        </is>
      </c>
    </row>
    <row r="6" ht="15" customHeight="1" s="62">
      <c r="A6" s="54" t="n">
        <v>45413</v>
      </c>
      <c r="B6" s="33" t="inlineStr">
        <is>
          <t>May</t>
        </is>
      </c>
      <c r="C6" s="34">
        <f>IF(B6="","","Monthly Rent Charge")</f>
        <v/>
      </c>
      <c r="D6" s="34" t="n"/>
      <c r="E6" s="35">
        <f>IF(C6="Monthly Rent Charge",$D$3,"")</f>
        <v/>
      </c>
      <c r="F6" s="35">
        <f>IF(C6="Monthly Rent Charge",$F$3,"")</f>
        <v/>
      </c>
      <c r="G6" s="41" t="n"/>
      <c r="H6" s="34" t="n"/>
      <c r="I6" s="36">
        <f>IF(A6="","",IF(C6="Payment Received",-IFERROR(G6,0),IF(C6="Monthly Rent Charge",IFERROR(E6,0)+IFERROR(F6,0),0)))</f>
        <v/>
      </c>
      <c r="J6" s="37" t="n"/>
    </row>
    <row r="7" ht="15" customHeight="1" s="62">
      <c r="A7" s="53" t="n">
        <v>45422</v>
      </c>
      <c r="B7" s="33" t="n"/>
      <c r="C7" s="34" t="inlineStr">
        <is>
          <t>Payment Received</t>
        </is>
      </c>
      <c r="D7" s="34" t="n"/>
      <c r="E7" s="35">
        <f>IF(C7="Monthly Rent Charge",$D$3,"")</f>
        <v/>
      </c>
      <c r="F7" s="35">
        <f>IF(C7="Monthly Rent Charge",$F$3,"")</f>
        <v/>
      </c>
      <c r="G7" s="41" t="n">
        <v>4000</v>
      </c>
      <c r="H7" s="39" t="inlineStr">
        <is>
          <t>SEA251W1AK</t>
        </is>
      </c>
      <c r="I7" s="36">
        <f>IF(A7="","",IF(C7="Payment Received",I6-IFERROR(G7,0),IF(C7="Monthly Rent Charge",I6+IFERROR(E7,0)+IFERROR(F7,0),I6)))</f>
        <v/>
      </c>
      <c r="J7" s="37" t="n"/>
    </row>
    <row r="8" ht="15" customHeight="1" s="62">
      <c r="A8" s="53" t="n">
        <v>45422</v>
      </c>
      <c r="B8" s="33" t="n"/>
      <c r="C8" s="34" t="inlineStr">
        <is>
          <t>Payment Received</t>
        </is>
      </c>
      <c r="D8" s="34" t="n"/>
      <c r="E8" s="35">
        <f>IF(C8="Monthly Rent Charge",$D$3,"")</f>
        <v/>
      </c>
      <c r="F8" s="35">
        <f>IF(C8="Monthly Rent Charge",$F$3,"")</f>
        <v/>
      </c>
      <c r="G8" s="41" t="n">
        <v>200</v>
      </c>
      <c r="H8" s="39" t="inlineStr">
        <is>
          <t>SEA6S22XEC</t>
        </is>
      </c>
      <c r="I8" s="36">
        <f>IF(A8="","",IF(C8="Payment Received",I7-IFERROR(G8,0),IF(C8="Monthly Rent Charge",I7+IFERROR(E8,0)+IFERROR(F8,0),I7)))</f>
        <v/>
      </c>
      <c r="J8" s="37" t="n"/>
    </row>
    <row r="9" ht="15" customHeight="1" s="62">
      <c r="A9" s="53" t="n">
        <v>45438</v>
      </c>
      <c r="B9" s="33" t="n"/>
      <c r="C9" s="34" t="inlineStr">
        <is>
          <t>Payment Received</t>
        </is>
      </c>
      <c r="D9" s="34" t="n"/>
      <c r="E9" s="35">
        <f>IF(C9="Monthly Rent Charge",$D$3,"")</f>
        <v/>
      </c>
      <c r="F9" s="35">
        <f>IF(C9="Monthly Rent Charge",$F$3,"")</f>
        <v/>
      </c>
      <c r="G9" s="41" t="n">
        <v>1500</v>
      </c>
      <c r="H9" s="39" t="inlineStr">
        <is>
          <t>SEQ7HDVU8D</t>
        </is>
      </c>
      <c r="I9" s="36">
        <f>IF(A9="","",IF(C9="Payment Received",I8-IFERROR(G9,0),IF(C9="Monthly Rent Charge",I8+IFERROR(E9,0)+IFERROR(F9,0),I8)))</f>
        <v/>
      </c>
      <c r="J9" s="37" t="n"/>
    </row>
    <row r="10" ht="15" customHeight="1" s="62">
      <c r="A10" s="54" t="n">
        <v>45413</v>
      </c>
      <c r="B10" s="33" t="inlineStr">
        <is>
          <t>June</t>
        </is>
      </c>
      <c r="C10" s="34">
        <f>IF(B10="","","Monthly Rent Charge")</f>
        <v/>
      </c>
      <c r="D10" s="34" t="n"/>
      <c r="E10" s="35">
        <f>IF(C10="Monthly Rent Charge",$D$3,"")</f>
        <v/>
      </c>
      <c r="F10" s="35">
        <f>IF(C10="Monthly Rent Charge",$F$3,"")</f>
        <v/>
      </c>
      <c r="G10" s="41" t="n"/>
      <c r="H10" s="34" t="n"/>
      <c r="I10" s="36">
        <f>IF(A10="","",IF(C10="Payment Received",I9-IFERROR(G10,0),IF(C10="Monthly Rent Charge",I9+IFERROR(E10,0)+IFERROR(F10,0),I9)))</f>
        <v/>
      </c>
      <c r="J10" s="37" t="n"/>
    </row>
    <row r="11" ht="15" customHeight="1" s="62">
      <c r="A11" s="55" t="n">
        <v>45449</v>
      </c>
      <c r="B11" s="33" t="n"/>
      <c r="C11" s="34" t="inlineStr">
        <is>
          <t>Payment Received</t>
        </is>
      </c>
      <c r="D11" s="34" t="n"/>
      <c r="E11" s="35">
        <f>IF(C11="Monthly Rent Charge",$D$3,"")</f>
        <v/>
      </c>
      <c r="F11" s="35">
        <f>IF(C11="Monthly Rent Charge",$F$3,"")</f>
        <v/>
      </c>
      <c r="G11" s="41" t="n">
        <v>4000</v>
      </c>
      <c r="H11" s="43" t="inlineStr">
        <is>
          <t>SF66KH05E0</t>
        </is>
      </c>
      <c r="I11" s="36">
        <f>IF(A11="","",IF(C11="Payment Received",I10-IFERROR(G11,0),IF(C11="Monthly Rent Charge",I10+IFERROR(E11,0)+IFERROR(F11,0),I10)))</f>
        <v/>
      </c>
      <c r="J11" s="37" t="inlineStr">
        <is>
          <t>1,700 carried forward from here</t>
        </is>
      </c>
    </row>
    <row r="12" ht="15" customFormat="1" customHeight="1" s="77">
      <c r="A12" s="57" t="n">
        <v>45473</v>
      </c>
      <c r="B12" s="33" t="n"/>
      <c r="C12" s="34" t="inlineStr">
        <is>
          <t>Payment Received</t>
        </is>
      </c>
      <c r="D12" s="34" t="n"/>
      <c r="E12" s="35">
        <f>IF(C12="Monthly Rent Charge",$D$3,"")</f>
        <v/>
      </c>
      <c r="F12" s="35">
        <f>IF(C12="Monthly Rent Charge",$F$3,"")</f>
        <v/>
      </c>
      <c r="G12" s="41" t="n">
        <v>1700</v>
      </c>
      <c r="H12" s="58" t="n"/>
      <c r="I12" s="36">
        <f>IF(A12="","",IF(C12="Payment Received",I11-IFERROR(G12,0),IF(C12="Monthly Rent Charge",I11+IFERROR(E12,0)+IFERROR(F12,0),I11)))</f>
        <v/>
      </c>
      <c r="J12" s="37" t="inlineStr">
        <is>
          <t>Cleared</t>
        </is>
      </c>
    </row>
    <row r="13" ht="15" customHeight="1" s="62">
      <c r="A13" s="54" t="n">
        <v>45474</v>
      </c>
      <c r="B13" s="33" t="inlineStr">
        <is>
          <t>July</t>
        </is>
      </c>
      <c r="C13" s="34">
        <f>IF(B13="","","Monthly Rent Charge")</f>
        <v/>
      </c>
      <c r="D13" s="34" t="n"/>
      <c r="E13" s="35">
        <f>IF(C13="Monthly Rent Charge",$D$3,"")</f>
        <v/>
      </c>
      <c r="F13" s="35">
        <f>IF(C13="Monthly Rent Charge",$F$3,"")</f>
        <v/>
      </c>
      <c r="G13" s="41" t="n"/>
      <c r="H13" s="34" t="n"/>
      <c r="I13" s="36">
        <f>IF(A13="","",IF(C13="Payment Received",I12-IFERROR(G13,0),IF(C13="Monthly Rent Charge",I12+IFERROR(E13,0)+IFERROR(F13,0),I12)))</f>
        <v/>
      </c>
      <c r="J13" s="37" t="n"/>
    </row>
    <row r="14" ht="15" customHeight="1" s="62">
      <c r="A14" s="53" t="n">
        <v>45482</v>
      </c>
      <c r="B14" s="33" t="n"/>
      <c r="C14" s="34" t="inlineStr">
        <is>
          <t>Payment Received</t>
        </is>
      </c>
      <c r="D14" s="34" t="n"/>
      <c r="E14" s="35">
        <f>IF(C14="Monthly Rent Charge",$D$3,"")</f>
        <v/>
      </c>
      <c r="F14" s="35">
        <f>IF(C14="Monthly Rent Charge",$F$3,"")</f>
        <v/>
      </c>
      <c r="G14" s="41" t="n">
        <v>4000</v>
      </c>
      <c r="H14" s="39" t="inlineStr">
        <is>
          <t>SG945RONMS</t>
        </is>
      </c>
      <c r="I14" s="36">
        <f>IF(A14="","",IF(C14="Payment Received",I13-IFERROR(G14,0),IF(C14="Monthly Rent Charge",I13+IFERROR(E14,0)+IFERROR(F14,0),I13)))</f>
        <v/>
      </c>
      <c r="J14" s="37" t="n"/>
    </row>
    <row r="15" ht="15" customHeight="1" s="62">
      <c r="A15" s="53" t="n">
        <v>45487</v>
      </c>
      <c r="B15" s="33" t="n"/>
      <c r="C15" s="34" t="inlineStr">
        <is>
          <t>Payment Received</t>
        </is>
      </c>
      <c r="D15" s="34" t="n"/>
      <c r="E15" s="35">
        <f>IF(C15="Monthly Rent Charge",$D$3,"")</f>
        <v/>
      </c>
      <c r="F15" s="35">
        <f>IF(C15="Monthly Rent Charge",$F$3,"")</f>
        <v/>
      </c>
      <c r="G15" s="41" t="n">
        <v>1700</v>
      </c>
      <c r="H15" s="39" t="inlineStr">
        <is>
          <t>SGE3ODZ47Z</t>
        </is>
      </c>
      <c r="I15" s="36">
        <f>IF(A15="","",IF(C15="Payment Received",I14-IFERROR(G15,0),IF(C15="Monthly Rent Charge",I14+IFERROR(E15,0)+IFERROR(F15,0),I14)))</f>
        <v/>
      </c>
      <c r="J15" s="37" t="n"/>
    </row>
    <row r="16" ht="15" customHeight="1" s="62">
      <c r="A16" s="54" t="n">
        <v>45870</v>
      </c>
      <c r="B16" s="33" t="inlineStr">
        <is>
          <t>August</t>
        </is>
      </c>
      <c r="C16" s="34">
        <f>IF(B16="","","Monthly Rent Charge")</f>
        <v/>
      </c>
      <c r="D16" s="34" t="n"/>
      <c r="E16" s="35">
        <f>IF(C16="Monthly Rent Charge",$D$3,"")</f>
        <v/>
      </c>
      <c r="F16" s="35">
        <f>IF(C16="Monthly Rent Charge",$F$3,"")</f>
        <v/>
      </c>
      <c r="G16" s="41" t="n"/>
      <c r="H16" s="34" t="n"/>
      <c r="I16" s="36">
        <f>IF(A16="","",IF(C16="Payment Received",I15-IFERROR(G16,0),IF(C16="Monthly Rent Charge",I15+IFERROR(E16,0)+IFERROR(F16,0),I15)))</f>
        <v/>
      </c>
      <c r="J16" s="37" t="n"/>
    </row>
    <row r="17" ht="15" customHeight="1" s="62">
      <c r="A17" s="53" t="n">
        <v>45514</v>
      </c>
      <c r="B17" s="33" t="n"/>
      <c r="C17" s="34" t="inlineStr">
        <is>
          <t>Payment Received</t>
        </is>
      </c>
      <c r="D17" s="34" t="n"/>
      <c r="E17" s="35">
        <f>IF(C17="Monthly Rent Charge",$D$3,"")</f>
        <v/>
      </c>
      <c r="F17" s="35">
        <f>IF(C17="Monthly Rent Charge",$F$3,"")</f>
        <v/>
      </c>
      <c r="G17" s="41" t="n">
        <v>5700</v>
      </c>
      <c r="H17" s="39" t="inlineStr">
        <is>
          <t>SHA7KCOGKJ</t>
        </is>
      </c>
      <c r="I17" s="36">
        <f>IF(A17="","",IF(C17="Payment Received",I16-IFERROR(G17,0),IF(C17="Monthly Rent Charge",I16+IFERROR(E17,0)+IFERROR(F17,0),I16)))</f>
        <v/>
      </c>
      <c r="J17" s="37" t="n"/>
    </row>
    <row r="18" ht="15" customHeight="1" s="62">
      <c r="A18" s="54" t="n">
        <v>45536</v>
      </c>
      <c r="B18" s="33" t="inlineStr">
        <is>
          <t>September</t>
        </is>
      </c>
      <c r="C18" s="34">
        <f>IF(B18="","","Monthly Rent Charge")</f>
        <v/>
      </c>
      <c r="D18" s="34" t="n"/>
      <c r="E18" s="35">
        <f>IF(C18="Monthly Rent Charge",$D$3,"")</f>
        <v/>
      </c>
      <c r="F18" s="35">
        <f>IF(C18="Monthly Rent Charge",$F$3,"")</f>
        <v/>
      </c>
      <c r="G18" s="41" t="n"/>
      <c r="H18" s="34" t="n"/>
      <c r="I18" s="36">
        <f>IF(A18="","",IF(C18="Payment Received",I17-IFERROR(G18,0),IF(C18="Monthly Rent Charge",I17+IFERROR(E18,0)+IFERROR(F18,0),I17)))</f>
        <v/>
      </c>
      <c r="J18" s="37" t="n"/>
    </row>
    <row r="19" ht="15" customHeight="1" s="62">
      <c r="A19" s="53" t="n">
        <v>45910</v>
      </c>
      <c r="B19" s="33" t="n"/>
      <c r="C19" s="34" t="inlineStr">
        <is>
          <t>Payment Received</t>
        </is>
      </c>
      <c r="D19" s="34" t="n"/>
      <c r="E19" s="35">
        <f>IF(C19="Monthly Rent Charge",$D$3,"")</f>
        <v/>
      </c>
      <c r="F19" s="35">
        <f>IF(C19="Monthly Rent Charge",$F$3,"")</f>
        <v/>
      </c>
      <c r="G19" s="41" t="n">
        <v>5700</v>
      </c>
      <c r="H19" s="39" t="inlineStr">
        <is>
          <t>SIA65XIRXU</t>
        </is>
      </c>
      <c r="I19" s="36">
        <f>IF(A19="","",IF(C19="Payment Received",I18-IFERROR(G19,0),IF(C19="Monthly Rent Charge",I18+IFERROR(E19,0)+IFERROR(F19,0),I18)))</f>
        <v/>
      </c>
      <c r="J19" s="37" t="n"/>
    </row>
    <row r="20" ht="15" customHeight="1" s="62">
      <c r="A20" s="54" t="n">
        <v>45566</v>
      </c>
      <c r="B20" s="33" t="inlineStr">
        <is>
          <t>October</t>
        </is>
      </c>
      <c r="C20" s="34">
        <f>IF(B20="","","Monthly Rent Charge")</f>
        <v/>
      </c>
      <c r="D20" s="34" t="n"/>
      <c r="E20" s="35">
        <f>IF(C20="Monthly Rent Charge",$D$3,"")</f>
        <v/>
      </c>
      <c r="F20" s="35">
        <f>IF(C20="Monthly Rent Charge",$F$3,"")</f>
        <v/>
      </c>
      <c r="G20" s="41" t="n"/>
      <c r="H20" s="34" t="n"/>
      <c r="I20" s="36">
        <f>IF(A20="","",IF(C20="Payment Received",I19-IFERROR(G20,0),IF(C20="Monthly Rent Charge",I19+IFERROR(E20,0)+IFERROR(F20,0),I19)))</f>
        <v/>
      </c>
      <c r="J20" s="37" t="n"/>
    </row>
    <row r="21" ht="15" customHeight="1" s="62">
      <c r="A21" s="53" t="n">
        <v>45572</v>
      </c>
      <c r="B21" s="33" t="n"/>
      <c r="C21" s="34" t="inlineStr">
        <is>
          <t>Payment Received</t>
        </is>
      </c>
      <c r="D21" s="34" t="n"/>
      <c r="E21" s="35">
        <f>IF(C21="Monthly Rent Charge",$D$3,"")</f>
        <v/>
      </c>
      <c r="F21" s="35">
        <f>IF(C21="Monthly Rent Charge",$F$3,"")</f>
        <v/>
      </c>
      <c r="G21" s="41" t="n">
        <v>5700</v>
      </c>
      <c r="H21" s="39" t="inlineStr">
        <is>
          <t>SJ778ERW8X</t>
        </is>
      </c>
      <c r="I21" s="36">
        <f>IF(A21="","",IF(C21="Payment Received",I20-IFERROR(G21,0),IF(C21="Monthly Rent Charge",I20+IFERROR(E21,0)+IFERROR(F21,0),I20)))</f>
        <v/>
      </c>
      <c r="J21" s="37" t="n"/>
    </row>
    <row r="22" ht="15" customHeight="1" s="62">
      <c r="A22" s="54" t="n">
        <v>45597</v>
      </c>
      <c r="B22" s="33" t="inlineStr">
        <is>
          <t>November</t>
        </is>
      </c>
      <c r="C22" s="34">
        <f>IF(B22="","","Monthly Rent Charge")</f>
        <v/>
      </c>
      <c r="D22" s="34" t="n"/>
      <c r="E22" s="35">
        <f>IF(C22="Monthly Rent Charge",$D$3,"")</f>
        <v/>
      </c>
      <c r="F22" s="35">
        <f>IF(C22="Monthly Rent Charge",$F$3,"")</f>
        <v/>
      </c>
      <c r="G22" s="41" t="n"/>
      <c r="H22" s="34" t="n"/>
      <c r="I22" s="36">
        <f>IF(A22="","",IF(C22="Payment Received",I21-IFERROR(G22,0),IF(C22="Monthly Rent Charge",I21+IFERROR(E22,0)+IFERROR(F22,0),I21)))</f>
        <v/>
      </c>
      <c r="J22" s="37" t="n"/>
    </row>
    <row r="23" ht="15" customHeight="1" s="62">
      <c r="A23" s="53" t="n">
        <v>45606</v>
      </c>
      <c r="B23" s="33" t="n"/>
      <c r="C23" s="34" t="inlineStr">
        <is>
          <t>Payment Received</t>
        </is>
      </c>
      <c r="D23" s="34" t="n"/>
      <c r="E23" s="35">
        <f>IF(C23="Monthly Rent Charge",$D$3,"")</f>
        <v/>
      </c>
      <c r="F23" s="35">
        <f>IF(C23="Monthly Rent Charge",$F$3,"")</f>
        <v/>
      </c>
      <c r="G23" s="41" t="n">
        <v>5700</v>
      </c>
      <c r="H23" s="39" t="inlineStr">
        <is>
          <t>SKA6C344KI</t>
        </is>
      </c>
      <c r="I23" s="36">
        <f>IF(A23="","",IF(C23="Payment Received",I22-IFERROR(G23,0),IF(C23="Monthly Rent Charge",I22+IFERROR(E23,0)+IFERROR(F23,0),I22)))</f>
        <v/>
      </c>
      <c r="J23" s="37" t="n"/>
    </row>
    <row r="24" ht="15" customHeight="1" s="62">
      <c r="A24" s="54" t="n">
        <v>45627</v>
      </c>
      <c r="B24" s="33" t="inlineStr">
        <is>
          <t>December</t>
        </is>
      </c>
      <c r="C24" s="34">
        <f>IF(B24="","","Monthly Rent Charge")</f>
        <v/>
      </c>
      <c r="D24" s="34" t="n"/>
      <c r="E24" s="35">
        <f>IF(C24="Monthly Rent Charge",$D$3,"")</f>
        <v/>
      </c>
      <c r="F24" s="35">
        <f>IF(C24="Monthly Rent Charge",$F$3,"")</f>
        <v/>
      </c>
      <c r="G24" s="41" t="n"/>
      <c r="H24" s="34" t="n"/>
      <c r="I24" s="36">
        <f>IF(A24="","",IF(C24="Payment Received",I23-IFERROR(G24,0),IF(C24="Monthly Rent Charge",I23+IFERROR(E24,0)+IFERROR(F24,0),I23)))</f>
        <v/>
      </c>
      <c r="J24" s="37" t="n"/>
    </row>
    <row r="25" ht="15" customHeight="1" s="62">
      <c r="A25" s="53" t="n">
        <v>45636</v>
      </c>
      <c r="B25" s="33" t="n"/>
      <c r="C25" s="34" t="inlineStr">
        <is>
          <t>Payment Received</t>
        </is>
      </c>
      <c r="D25" s="34" t="n"/>
      <c r="E25" s="35">
        <f>IF(C25="Monthly Rent Charge",$D$3,"")</f>
        <v/>
      </c>
      <c r="F25" s="35">
        <f>IF(C25="Monthly Rent Charge",$F$3,"")</f>
        <v/>
      </c>
      <c r="G25" s="41" t="n">
        <v>5700</v>
      </c>
      <c r="H25" s="39" t="inlineStr">
        <is>
          <t>SLA3XGG2CJ</t>
        </is>
      </c>
      <c r="I25" s="36">
        <f>IF(A25="","",IF(C25="Payment Received",I24-IFERROR(G25,0),IF(C25="Monthly Rent Charge",I24+IFERROR(E25,0)+IFERROR(F25,0),I24)))</f>
        <v/>
      </c>
      <c r="J25" s="37" t="n"/>
    </row>
    <row r="26" ht="15" customHeight="1" s="62">
      <c r="A26" s="54" t="n">
        <v>45658</v>
      </c>
      <c r="B26" s="33" t="inlineStr">
        <is>
          <t>January</t>
        </is>
      </c>
      <c r="C26" s="34">
        <f>IF(B26="","","Monthly Rent Charge")</f>
        <v/>
      </c>
      <c r="D26" s="34" t="n"/>
      <c r="E26" s="35">
        <f>IF(C26="Monthly Rent Charge",$D$3,"")</f>
        <v/>
      </c>
      <c r="F26" s="35">
        <f>IF(C26="Monthly Rent Charge",$F$3,"")</f>
        <v/>
      </c>
      <c r="G26" s="41" t="n"/>
      <c r="H26" s="34" t="n"/>
      <c r="I26" s="36">
        <f>IF(A26="","",IF(C26="Payment Received",I25-IFERROR(G26,0),IF(C26="Monthly Rent Charge",I25+IFERROR(E26,0)+IFERROR(F26,0),I25)))</f>
        <v/>
      </c>
      <c r="J26" s="37" t="n"/>
    </row>
    <row r="27" ht="15" customHeight="1" s="62">
      <c r="A27" s="53" t="n">
        <v>45664</v>
      </c>
      <c r="B27" s="33" t="n"/>
      <c r="C27" s="34" t="inlineStr">
        <is>
          <t>Payment Received</t>
        </is>
      </c>
      <c r="D27" s="34" t="n"/>
      <c r="E27" s="35">
        <f>IF(C27="Monthly Rent Charge",$D$3,"")</f>
        <v/>
      </c>
      <c r="F27" s="35">
        <f>IF(C27="Monthly Rent Charge",$F$3,"")</f>
        <v/>
      </c>
      <c r="G27" s="41" t="n">
        <v>5700</v>
      </c>
      <c r="H27" s="39" t="inlineStr">
        <is>
          <t>TA74AORM3M</t>
        </is>
      </c>
      <c r="I27" s="36">
        <f>IF(A27="","",IF(C27="Payment Received",I26-IFERROR(G27,0),IF(C27="Monthly Rent Charge",I26+IFERROR(E27,0)+IFERROR(F27,0),I26)))</f>
        <v/>
      </c>
      <c r="J27" s="37" t="n"/>
    </row>
    <row r="28" ht="15" customHeight="1" s="62">
      <c r="A28" s="54" t="n">
        <v>45689</v>
      </c>
      <c r="B28" s="33" t="inlineStr">
        <is>
          <t>February</t>
        </is>
      </c>
      <c r="C28" s="34">
        <f>IF(B28="","","Monthly Rent Charge")</f>
        <v/>
      </c>
      <c r="D28" s="34" t="n"/>
      <c r="E28" s="35">
        <f>IF(C28="Monthly Rent Charge",$D$3,"")</f>
        <v/>
      </c>
      <c r="F28" s="35">
        <f>IF(C28="Monthly Rent Charge",$F$3,"")</f>
        <v/>
      </c>
      <c r="G28" s="41" t="n"/>
      <c r="H28" s="34" t="n"/>
      <c r="I28" s="36">
        <f>IF(A28="","",IF(C28="Payment Received",I27-IFERROR(G28,0),IF(C28="Monthly Rent Charge",I27+IFERROR(E28,0)+IFERROR(F28,0),I27)))</f>
        <v/>
      </c>
      <c r="J28" s="37" t="n"/>
    </row>
    <row r="29" ht="15" customHeight="1" s="62">
      <c r="A29" s="53" t="n">
        <v>45698</v>
      </c>
      <c r="B29" s="33" t="n"/>
      <c r="C29" s="34" t="inlineStr">
        <is>
          <t>Payment Received</t>
        </is>
      </c>
      <c r="D29" s="34" t="n"/>
      <c r="E29" s="35">
        <f>IF(C29="Monthly Rent Charge",$D$3,"")</f>
        <v/>
      </c>
      <c r="F29" s="35">
        <f>IF(C29="Monthly Rent Charge",$F$3,"")</f>
        <v/>
      </c>
      <c r="G29" s="41" t="n">
        <v>5700</v>
      </c>
      <c r="H29" s="39" t="inlineStr">
        <is>
          <t>TBA7H9QD1L</t>
        </is>
      </c>
      <c r="I29" s="36">
        <f>IF(A29="","",IF(C29="Payment Received",I28-IFERROR(G29,0),IF(C29="Monthly Rent Charge",I28+IFERROR(E29,0)+IFERROR(F29,0),I28)))</f>
        <v/>
      </c>
      <c r="J29" s="37" t="n"/>
    </row>
    <row r="30" ht="15" customHeight="1" s="62">
      <c r="A30" s="54" t="n">
        <v>45717</v>
      </c>
      <c r="B30" s="33" t="inlineStr">
        <is>
          <t>March</t>
        </is>
      </c>
      <c r="C30" s="34">
        <f>IF(B30="","","Monthly Rent Charge")</f>
        <v/>
      </c>
      <c r="D30" s="34" t="n"/>
      <c r="E30" s="35">
        <f>IF(C30="Monthly Rent Charge",$D$3,"")</f>
        <v/>
      </c>
      <c r="F30" s="35">
        <f>IF(C30="Monthly Rent Charge",$F$3,"")</f>
        <v/>
      </c>
      <c r="G30" s="41" t="n"/>
      <c r="H30" s="34" t="n"/>
      <c r="I30" s="36">
        <f>IF(A30="","",IF(C30="Payment Received",I29-IFERROR(G30,0),IF(C30="Monthly Rent Charge",I29+IFERROR(E30,0)+IFERROR(F30,0),I29)))</f>
        <v/>
      </c>
      <c r="J30" s="37" t="n"/>
    </row>
    <row r="31" ht="15" customHeight="1" s="62">
      <c r="A31" s="53" t="n">
        <v>45725</v>
      </c>
      <c r="B31" s="33" t="n"/>
      <c r="C31" s="34" t="inlineStr">
        <is>
          <t>Payment Received</t>
        </is>
      </c>
      <c r="D31" s="34" t="n"/>
      <c r="E31" s="35">
        <f>IF(C31="Monthly Rent Charge",$D$3,"")</f>
        <v/>
      </c>
      <c r="F31" s="35">
        <f>IF(C31="Monthly Rent Charge",$F$3,"")</f>
        <v/>
      </c>
      <c r="G31" s="41" t="n">
        <v>5000</v>
      </c>
      <c r="H31" s="39" t="inlineStr">
        <is>
          <t>TC96ZANLGG</t>
        </is>
      </c>
      <c r="I31" s="36">
        <f>IF(A31="","",IF(C31="Payment Received",I30-IFERROR(G31,0),IF(C31="Monthly Rent Charge",I30+IFERROR(E31,0)+IFERROR(F31,0),I30)))</f>
        <v/>
      </c>
      <c r="J31" s="37" t="n"/>
    </row>
    <row r="32" ht="15" customHeight="1" s="62">
      <c r="A32" s="53" t="n">
        <v>45730</v>
      </c>
      <c r="B32" s="33" t="n"/>
      <c r="C32" s="34" t="inlineStr">
        <is>
          <t>Payment Received</t>
        </is>
      </c>
      <c r="D32" s="34" t="n"/>
      <c r="E32" s="35">
        <f>IF(C32="Monthly Rent Charge",$D$3,"")</f>
        <v/>
      </c>
      <c r="F32" s="35">
        <f>IF(C32="Monthly Rent Charge",$F$3,"")</f>
        <v/>
      </c>
      <c r="G32" s="41" t="n">
        <v>700</v>
      </c>
      <c r="H32" s="39" t="inlineStr">
        <is>
          <t>TCE5OBYOCP</t>
        </is>
      </c>
      <c r="I32" s="36">
        <f>IF(A32="","",IF(C32="Payment Received",I31-IFERROR(G32,0),IF(C32="Monthly Rent Charge",I31+IFERROR(E32,0)+IFERROR(F32,0),I31)))</f>
        <v/>
      </c>
      <c r="J32" s="37" t="n"/>
    </row>
    <row r="33" ht="15" customHeight="1" s="62">
      <c r="A33" s="54" t="n">
        <v>45748</v>
      </c>
      <c r="B33" s="33" t="inlineStr">
        <is>
          <t>April</t>
        </is>
      </c>
      <c r="C33" s="34">
        <f>IF(B33="","","Monthly Rent Charge")</f>
        <v/>
      </c>
      <c r="D33" s="34" t="n"/>
      <c r="E33" s="35">
        <f>IF(C33="Monthly Rent Charge",$D$3,"")</f>
        <v/>
      </c>
      <c r="F33" s="35">
        <f>IF(C33="Monthly Rent Charge",$F$3,"")</f>
        <v/>
      </c>
      <c r="G33" s="41" t="n"/>
      <c r="H33" s="34" t="n"/>
      <c r="I33" s="36">
        <f>IF(A33="","",IF(C33="Payment Received",I32-IFERROR(G33,0),IF(C33="Monthly Rent Charge",I32+IFERROR(E33,0)+IFERROR(F33,0),I32)))</f>
        <v/>
      </c>
      <c r="J33" s="37" t="n"/>
    </row>
    <row r="34" ht="15" customHeight="1" s="62">
      <c r="A34" s="53" t="n">
        <v>45757</v>
      </c>
      <c r="B34" s="33" t="n"/>
      <c r="C34" s="34" t="inlineStr">
        <is>
          <t>Payment Received</t>
        </is>
      </c>
      <c r="D34" s="34" t="n"/>
      <c r="E34" s="35">
        <f>IF(C34="Monthly Rent Charge",$D$3,"")</f>
        <v/>
      </c>
      <c r="F34" s="35">
        <f>IF(C34="Monthly Rent Charge",$F$3,"")</f>
        <v/>
      </c>
      <c r="G34" s="41" t="n">
        <v>5000</v>
      </c>
      <c r="H34" s="39" t="inlineStr">
        <is>
          <t>TDA59CU3FB</t>
        </is>
      </c>
      <c r="I34" s="36">
        <f>IF(A34="","",IF(C34="Payment Received",I33-IFERROR(G34,0),IF(C34="Monthly Rent Charge",I33+IFERROR(E34,0)+IFERROR(F34,0),I33)))</f>
        <v/>
      </c>
      <c r="J34" s="37" t="n"/>
    </row>
    <row r="35" ht="15" customHeight="1" s="62">
      <c r="A35" s="53" t="n">
        <v>45762</v>
      </c>
      <c r="B35" s="33" t="n"/>
      <c r="C35" s="34" t="inlineStr">
        <is>
          <t>Payment Received</t>
        </is>
      </c>
      <c r="D35" s="34" t="n"/>
      <c r="E35" s="35">
        <f>IF(C35="Monthly Rent Charge",$D$3,"")</f>
        <v/>
      </c>
      <c r="F35" s="35">
        <f>IF(C35="Monthly Rent Charge",$F$3,"")</f>
        <v/>
      </c>
      <c r="G35" s="41" t="n">
        <v>700</v>
      </c>
      <c r="H35" s="39" t="inlineStr">
        <is>
          <t>TDF6SGGA1K</t>
        </is>
      </c>
      <c r="I35" s="36">
        <f>IF(A35="","",IF(C35="Payment Received",I34-IFERROR(G35,0),IF(C35="Monthly Rent Charge",I34+IFERROR(E35,0)+IFERROR(F35,0),I34)))</f>
        <v/>
      </c>
      <c r="J35" s="37" t="n"/>
    </row>
    <row r="36" ht="15" customHeight="1" s="62">
      <c r="A36" s="54" t="n">
        <v>45778</v>
      </c>
      <c r="B36" s="33" t="inlineStr">
        <is>
          <t>May</t>
        </is>
      </c>
      <c r="C36" s="34">
        <f>IF(B36="","","Monthly Rent Charge")</f>
        <v/>
      </c>
      <c r="D36" s="34" t="n"/>
      <c r="E36" s="35">
        <f>IF(C36="Monthly Rent Charge",$D$3,"")</f>
        <v/>
      </c>
      <c r="F36" s="35">
        <f>IF(C36="Monthly Rent Charge",$F$3,"")</f>
        <v/>
      </c>
      <c r="G36" s="41" t="n"/>
      <c r="H36" s="34" t="n"/>
      <c r="I36" s="36">
        <f>IF(A36="","",IF(C36="Payment Received",I35-IFERROR(G36,0),IF(C36="Monthly Rent Charge",I35+IFERROR(E36,0)+IFERROR(F36,0),I35)))</f>
        <v/>
      </c>
      <c r="J36" s="37" t="n"/>
    </row>
    <row r="37" ht="15" customHeight="1" s="62">
      <c r="A37" s="53" t="n">
        <v>45788</v>
      </c>
      <c r="B37" s="33" t="n"/>
      <c r="C37" s="34" t="inlineStr">
        <is>
          <t>Payment Received</t>
        </is>
      </c>
      <c r="D37" s="34" t="n"/>
      <c r="E37" s="35">
        <f>IF(C37="Monthly Rent Charge",$D$3,"")</f>
        <v/>
      </c>
      <c r="F37" s="35">
        <f>IF(C37="Monthly Rent Charge",$F$3,"")</f>
        <v/>
      </c>
      <c r="G37" s="41" t="n">
        <v>5000</v>
      </c>
      <c r="H37" s="39" t="inlineStr">
        <is>
          <t>TEB0CKS3C0</t>
        </is>
      </c>
      <c r="I37" s="36">
        <f>IF(A37="","",IF(C37="Payment Received",I36-IFERROR(G37,0),IF(C37="Monthly Rent Charge",I36+IFERROR(E37,0)+IFERROR(F37,0),I36)))</f>
        <v/>
      </c>
      <c r="J37" s="37" t="n"/>
    </row>
    <row r="38" ht="15" customHeight="1" s="62">
      <c r="A38" s="53" t="n">
        <v>45794</v>
      </c>
      <c r="B38" s="33" t="n"/>
      <c r="C38" s="34" t="inlineStr">
        <is>
          <t>Payment Received</t>
        </is>
      </c>
      <c r="D38" s="34" t="n"/>
      <c r="E38" s="35">
        <f>IF(C38="Monthly Rent Charge",$D$3,"")</f>
        <v/>
      </c>
      <c r="F38" s="35">
        <f>IF(C38="Monthly Rent Charge",$F$3,"")</f>
        <v/>
      </c>
      <c r="G38" s="41" t="n">
        <v>700</v>
      </c>
      <c r="H38" s="39" t="inlineStr">
        <is>
          <t>TEH72BUUQX</t>
        </is>
      </c>
      <c r="I38" s="36">
        <f>IF(A38="","",IF(C38="Payment Received",I37-IFERROR(G38,0),IF(C38="Monthly Rent Charge",I37+IFERROR(E38,0)+IFERROR(F38,0),I37)))</f>
        <v/>
      </c>
      <c r="J38" s="37" t="n"/>
    </row>
    <row r="39" ht="15" customHeight="1" s="62">
      <c r="A39" s="54" t="n">
        <v>45809</v>
      </c>
      <c r="B39" s="33" t="inlineStr">
        <is>
          <t>June</t>
        </is>
      </c>
      <c r="C39" s="34">
        <f>IF(B39="","","Monthly Rent Charge")</f>
        <v/>
      </c>
      <c r="D39" s="34" t="n"/>
      <c r="E39" s="35">
        <f>IF(C39="Monthly Rent Charge",$D$3,"")</f>
        <v/>
      </c>
      <c r="F39" s="35">
        <f>IF(C39="Monthly Rent Charge",$F$3,"")</f>
        <v/>
      </c>
      <c r="G39" s="41" t="n"/>
      <c r="H39" s="34" t="n"/>
      <c r="I39" s="36">
        <f>IF(A39="","",IF(C39="Payment Received",I38-IFERROR(G39,0),IF(C39="Monthly Rent Charge",I38+IFERROR(E39,0)+IFERROR(F39,0),I38)))</f>
        <v/>
      </c>
      <c r="J39" s="37" t="n"/>
    </row>
    <row r="40" ht="15" customHeight="1" s="62">
      <c r="A40" s="53" t="n">
        <v>45819</v>
      </c>
      <c r="B40" s="33" t="n"/>
      <c r="C40" s="34" t="inlineStr">
        <is>
          <t>Payment Received</t>
        </is>
      </c>
      <c r="D40" s="34" t="n"/>
      <c r="E40" s="35">
        <f>IF(C40="Monthly Rent Charge",$D$3,"")</f>
        <v/>
      </c>
      <c r="F40" s="35">
        <f>IF(C40="Monthly Rent Charge",$F$3,"")</f>
        <v/>
      </c>
      <c r="G40" s="41" t="n">
        <v>5000</v>
      </c>
      <c r="H40" s="39" t="inlineStr">
        <is>
          <t>TFB7E1F15L</t>
        </is>
      </c>
      <c r="I40" s="36">
        <f>IF(A40="","",IF(C40="Payment Received",I39-IFERROR(G40,0),IF(C40="Monthly Rent Charge",I39+IFERROR(E40,0)+IFERROR(F40,0),I39)))</f>
        <v/>
      </c>
      <c r="J40" s="37" t="n"/>
    </row>
    <row r="41" ht="15" customHeight="1" s="62">
      <c r="A41" s="53" t="n">
        <v>45835</v>
      </c>
      <c r="B41" s="33" t="n"/>
      <c r="C41" s="34" t="inlineStr">
        <is>
          <t>Payment Received</t>
        </is>
      </c>
      <c r="D41" s="34" t="n"/>
      <c r="E41" s="35">
        <f>IF(C41="Monthly Rent Charge",$D$3,"")</f>
        <v/>
      </c>
      <c r="F41" s="35">
        <f>IF(C41="Monthly Rent Charge",$F$3,"")</f>
        <v/>
      </c>
      <c r="G41" s="41" t="n">
        <v>700</v>
      </c>
      <c r="H41" s="39" t="inlineStr">
        <is>
          <t>TFR5J6VRYD</t>
        </is>
      </c>
      <c r="I41" s="36">
        <f>IF(A41="","",IF(C41="Payment Received",I40-IFERROR(G41,0),IF(C41="Monthly Rent Charge",I40+IFERROR(E41,0)+IFERROR(F41,0),I40)))</f>
        <v/>
      </c>
      <c r="J41" s="37" t="n"/>
    </row>
    <row r="42" ht="15" customHeight="1" s="62">
      <c r="A42" s="54" t="n">
        <v>45839</v>
      </c>
      <c r="B42" s="33" t="inlineStr">
        <is>
          <t>July</t>
        </is>
      </c>
      <c r="C42" s="34">
        <f>IF(B42="","","Monthly Rent Charge")</f>
        <v/>
      </c>
      <c r="D42" s="34" t="n"/>
      <c r="E42" s="35">
        <f>IF(C42="Monthly Rent Charge",$D$3,"")</f>
        <v/>
      </c>
      <c r="F42" s="35">
        <f>IF(C42="Monthly Rent Charge",$F$3,"")</f>
        <v/>
      </c>
      <c r="G42" s="41" t="n"/>
      <c r="H42" s="34" t="n"/>
      <c r="I42" s="36">
        <f>IF(A42="","",IF(C42="Payment Received",I41-IFERROR(G42,0),IF(C42="Monthly Rent Charge",I41+IFERROR(E42,0)+IFERROR(F42,0),I41)))</f>
        <v/>
      </c>
      <c r="J42" s="37" t="n"/>
    </row>
    <row r="43" ht="15" customHeight="1" s="62">
      <c r="A43" s="53" t="n">
        <v>45849</v>
      </c>
      <c r="B43" s="33" t="n"/>
      <c r="C43" s="34" t="inlineStr">
        <is>
          <t>Payment Received</t>
        </is>
      </c>
      <c r="D43" s="34" t="n"/>
      <c r="E43" s="35">
        <f>IF(C43="Monthly Rent Charge",$D$3,"")</f>
        <v/>
      </c>
      <c r="F43" s="35">
        <f>IF(C43="Monthly Rent Charge",$F$3,"")</f>
        <v/>
      </c>
      <c r="G43" s="41" t="n">
        <v>3000</v>
      </c>
      <c r="H43" s="39" t="inlineStr">
        <is>
          <t>TGB5HP72VN</t>
        </is>
      </c>
      <c r="I43" s="36">
        <f>IF(A43="","",IF(C43="Payment Received",I42-IFERROR(G43,0),IF(C43="Monthly Rent Charge",I42+IFERROR(E43,0)+IFERROR(F43,0),I42)))</f>
        <v/>
      </c>
      <c r="J43" s="37" t="n"/>
    </row>
    <row r="44" ht="15" customHeight="1" s="62">
      <c r="A44" s="53" t="n">
        <v>45855</v>
      </c>
      <c r="B44" s="33" t="n"/>
      <c r="C44" s="34" t="inlineStr">
        <is>
          <t>Payment Received</t>
        </is>
      </c>
      <c r="D44" s="34" t="n"/>
      <c r="E44" s="35">
        <f>IF(C44="Monthly Rent Charge",$D$3,"")</f>
        <v/>
      </c>
      <c r="F44" s="35">
        <f>IF(C44="Monthly Rent Charge",$F$3,"")</f>
        <v/>
      </c>
      <c r="G44" s="41" t="n">
        <v>2000</v>
      </c>
      <c r="H44" s="39" t="inlineStr">
        <is>
          <t>TGH8F0MEES</t>
        </is>
      </c>
      <c r="I44" s="36">
        <f>IF(A44="","",IF(C44="Payment Received",I43-IFERROR(G44,0),IF(C44="Monthly Rent Charge",I43+IFERROR(E44,0)+IFERROR(F44,0),I43)))</f>
        <v/>
      </c>
      <c r="J44" s="37" t="n"/>
    </row>
    <row r="45" ht="15" customHeight="1" s="62">
      <c r="A45" s="53" t="n">
        <v>45866</v>
      </c>
      <c r="B45" s="33" t="n"/>
      <c r="C45" s="34" t="inlineStr">
        <is>
          <t>Payment Received</t>
        </is>
      </c>
      <c r="D45" s="34" t="n"/>
      <c r="E45" s="35">
        <f>IF(C45="Monthly Rent Charge",$D$3,"")</f>
        <v/>
      </c>
      <c r="F45" s="35">
        <f>IF(C45="Monthly Rent Charge",$F$3,"")</f>
        <v/>
      </c>
      <c r="G45" s="41" t="n">
        <v>700</v>
      </c>
      <c r="H45" s="39" t="inlineStr">
        <is>
          <t>TGS5X49E4V</t>
        </is>
      </c>
      <c r="I45" s="36">
        <f>IF(A45="","",IF(C45="Payment Received",I44-IFERROR(G45,0),IF(C45="Monthly Rent Charge",I44+IFERROR(E45,0)+IFERROR(F45,0),I44)))</f>
        <v/>
      </c>
      <c r="J45" s="37" t="n"/>
    </row>
    <row r="46" ht="15" customHeight="1" s="62">
      <c r="A46" s="54" t="n">
        <v>45870</v>
      </c>
      <c r="B46" s="33" t="inlineStr">
        <is>
          <t>August</t>
        </is>
      </c>
      <c r="C46" s="34">
        <f>IF(B46="","","Monthly Rent Charge")</f>
        <v/>
      </c>
      <c r="D46" s="34" t="n"/>
      <c r="E46" s="35">
        <f>IF(C46="Monthly Rent Charge",$D$3,"")</f>
        <v/>
      </c>
      <c r="F46" s="35">
        <f>IF(C46="Monthly Rent Charge",$F$3,"")</f>
        <v/>
      </c>
      <c r="G46" s="41" t="n"/>
      <c r="H46" s="34" t="n"/>
      <c r="I46" s="36">
        <f>IF(A46="","",IF(C46="Payment Received",I45-IFERROR(G46,0),IF(C46="Monthly Rent Charge",I45+IFERROR(E46,0)+IFERROR(F46,0),I45)))</f>
        <v/>
      </c>
      <c r="J46" s="37" t="n"/>
    </row>
    <row r="47" ht="15" customHeight="1" s="62">
      <c r="A47" s="53" t="n">
        <v>45880</v>
      </c>
      <c r="B47" s="33" t="n"/>
      <c r="C47" s="34" t="inlineStr">
        <is>
          <t>Payment Received</t>
        </is>
      </c>
      <c r="D47" s="34" t="n"/>
      <c r="E47" s="35">
        <f>IF(C47="Monthly Rent Charge",$D$3,"")</f>
        <v/>
      </c>
      <c r="F47" s="35">
        <f>IF(C47="Monthly Rent Charge",$F$3,"")</f>
        <v/>
      </c>
      <c r="G47" s="41" t="n">
        <v>5000</v>
      </c>
      <c r="H47" s="39" t="inlineStr">
        <is>
          <t>THB3UZO1CV</t>
        </is>
      </c>
      <c r="I47" s="36">
        <f>IF(A47="","",IF(C47="Payment Received",I46-IFERROR(G47,0),IF(C47="Monthly Rent Charge",I46+IFERROR(E47,0)+IFERROR(F47,0),I46)))</f>
        <v/>
      </c>
      <c r="J47" s="37" t="n"/>
    </row>
    <row r="48" ht="15" customHeight="1" s="62">
      <c r="A48" s="53" t="n">
        <v>45881</v>
      </c>
      <c r="B48" s="33" t="n"/>
      <c r="C48" s="34" t="inlineStr">
        <is>
          <t>Payment Received</t>
        </is>
      </c>
      <c r="D48" s="34" t="n"/>
      <c r="E48" s="35">
        <f>IF(C48="Monthly Rent Charge",$D$3,"")</f>
        <v/>
      </c>
      <c r="F48" s="35">
        <f>IF(C48="Monthly Rent Charge",$F$3,"")</f>
        <v/>
      </c>
      <c r="G48" s="41" t="n">
        <v>700</v>
      </c>
      <c r="H48" s="39" t="inlineStr">
        <is>
          <t>THC43SKR88</t>
        </is>
      </c>
      <c r="I48" s="36">
        <f>IF(A48="","",IF(C48="Payment Received",I47-IFERROR(G48,0),IF(C48="Monthly Rent Charge",I47+IFERROR(E48,0)+IFERROR(F48,0),I47)))</f>
        <v/>
      </c>
      <c r="J48" s="37" t="n"/>
    </row>
    <row r="49" ht="15" customHeight="1" s="62">
      <c r="A49" s="54" t="n">
        <v>45901</v>
      </c>
      <c r="B49" s="33" t="inlineStr">
        <is>
          <t>September</t>
        </is>
      </c>
      <c r="C49" s="34">
        <f>IF(B49="","","Monthly Rent Charge")</f>
        <v/>
      </c>
      <c r="D49" s="34" t="n"/>
      <c r="E49" s="35">
        <f>IF(C49="Monthly Rent Charge",$D$3,"")</f>
        <v/>
      </c>
      <c r="F49" s="35">
        <f>IF(C49="Monthly Rent Charge",$F$3,"")</f>
        <v/>
      </c>
      <c r="G49" s="41" t="n"/>
      <c r="H49" s="34" t="n"/>
      <c r="I49" s="36">
        <f>IF(A49="","",IF(C49="Payment Received",I48-IFERROR(G49,0),IF(C49="Monthly Rent Charge",I48+IFERROR(E49,0)+IFERROR(F49,0),I48)))</f>
        <v/>
      </c>
      <c r="J49" s="37" t="n"/>
    </row>
    <row r="50" ht="15" customHeight="1" s="62">
      <c r="A50" s="53" t="n">
        <v>45910</v>
      </c>
      <c r="B50" s="33" t="n"/>
      <c r="C50" s="34" t="inlineStr">
        <is>
          <t>Payment Received</t>
        </is>
      </c>
      <c r="D50" s="34" t="n"/>
      <c r="E50" s="35">
        <f>IF(C50="Monthly Rent Charge",$D$3,"")</f>
        <v/>
      </c>
      <c r="F50" s="35">
        <f>IF(C50="Monthly Rent Charge",$F$3,"")</f>
        <v/>
      </c>
      <c r="G50" s="41" t="n">
        <v>5700</v>
      </c>
      <c r="H50" s="39" t="inlineStr">
        <is>
          <t>TIA28JWG7U</t>
        </is>
      </c>
      <c r="I50" s="36">
        <f>IF(A50="","",IF(C50="Payment Received",I49-IFERROR(G50,0),IF(C50="Monthly Rent Charge",I49+IFERROR(E50,0)+IFERROR(F50,0),I49)))</f>
        <v/>
      </c>
      <c r="J50" s="37" t="n"/>
    </row>
    <row r="51" ht="15" customHeight="1" s="62">
      <c r="A51" s="54" t="n">
        <v>45931</v>
      </c>
      <c r="B51" s="33" t="inlineStr">
        <is>
          <t>October</t>
        </is>
      </c>
      <c r="C51" s="34">
        <f>IF(B51="","","Monthly Rent Charge")</f>
        <v/>
      </c>
      <c r="D51" s="34" t="n"/>
      <c r="E51" s="35">
        <f>IF(C51="Monthly Rent Charge",$D$3,"")</f>
        <v/>
      </c>
      <c r="F51" s="35">
        <f>IF(C51="Monthly Rent Charge",$F$3,"")</f>
        <v/>
      </c>
      <c r="G51" s="41" t="n"/>
      <c r="H51" s="34" t="n"/>
      <c r="I51" s="36">
        <f>IF(A51="","",IF(C51="Payment Received",I50-IFERROR(G51,0),IF(C51="Monthly Rent Charge",I50+IFERROR(E51,0)+IFERROR(F51,0),I50)))</f>
        <v/>
      </c>
      <c r="J51" s="37" t="n"/>
    </row>
    <row r="52" ht="15" customHeight="1" s="62">
      <c r="A52" s="53" t="n">
        <v>45939</v>
      </c>
      <c r="B52" s="33" t="n"/>
      <c r="C52" s="34" t="inlineStr">
        <is>
          <t>Payment Received</t>
        </is>
      </c>
      <c r="D52" s="34" t="n"/>
      <c r="E52" s="35">
        <f>IF(C52="Monthly Rent Charge",$D$3,"")</f>
        <v/>
      </c>
      <c r="F52" s="35">
        <f>IF(C52="Monthly Rent Charge",$F$3,"")</f>
        <v/>
      </c>
      <c r="G52" s="41" t="n">
        <v>5000</v>
      </c>
      <c r="H52" s="39" t="inlineStr">
        <is>
          <t>TJ9D76ZIUI</t>
        </is>
      </c>
      <c r="I52" s="36">
        <f>IF(A52="","",IF(C52="Payment Received",I51-IFERROR(G52,0),IF(C52="Monthly Rent Charge",I51+IFERROR(E52,0)+IFERROR(F52,0),I51)))</f>
        <v/>
      </c>
      <c r="J52" s="37" t="n"/>
    </row>
    <row r="53" ht="15" customHeight="1" s="62">
      <c r="A53" s="53" t="n">
        <v>45942</v>
      </c>
      <c r="B53" s="33" t="n"/>
      <c r="C53" s="34" t="inlineStr">
        <is>
          <t>Payment Received</t>
        </is>
      </c>
      <c r="D53" s="34" t="n"/>
      <c r="E53" s="35">
        <f>IF(C53="Monthly Rent Charge",$D$3,"")</f>
        <v/>
      </c>
      <c r="F53" s="35">
        <f>IF(C53="Monthly Rent Charge",$F$3,"")</f>
        <v/>
      </c>
      <c r="G53" s="41" t="n">
        <v>700</v>
      </c>
      <c r="H53" s="39" t="inlineStr">
        <is>
          <t>TJCD7782FX</t>
        </is>
      </c>
      <c r="I53" s="36">
        <f>IF(A53="","",IF(C53="Payment Received",I52-IFERROR(G53,0),IF(C53="Monthly Rent Charge",I52+IFERROR(E53,0)+IFERROR(F53,0),I52)))</f>
        <v/>
      </c>
      <c r="J53" s="37" t="n"/>
    </row>
    <row r="54" ht="15" customHeight="1" s="62">
      <c r="A54" s="54" t="n">
        <v>45962</v>
      </c>
      <c r="B54" s="33" t="inlineStr">
        <is>
          <t>November</t>
        </is>
      </c>
      <c r="C54" s="34">
        <f>IF(B54="","","Monthly Rent Charge")</f>
        <v/>
      </c>
      <c r="D54" s="34" t="n"/>
      <c r="E54" s="35">
        <f>IF(C54="Monthly Rent Charge",$D$3,"")</f>
        <v/>
      </c>
      <c r="F54" s="35">
        <f>IF(C54="Monthly Rent Charge",$F$3,"")</f>
        <v/>
      </c>
      <c r="G54" s="41" t="n"/>
      <c r="H54" s="34" t="n"/>
      <c r="I54" s="36">
        <f>IF(A54="","",IF(C54="Payment Received",I53-IFERROR(G54,0),IF(C54="Monthly Rent Charge",I53+IFERROR(E54,0)+IFERROR(F54,0),I53)))</f>
        <v/>
      </c>
      <c r="J54" s="37" t="n"/>
    </row>
    <row r="55" ht="15" customHeight="1" s="62">
      <c r="A55" s="53" t="n">
        <v>45971</v>
      </c>
      <c r="B55" s="33" t="n"/>
      <c r="C55" s="34" t="inlineStr">
        <is>
          <t>Payment Received</t>
        </is>
      </c>
      <c r="D55" s="34" t="n"/>
      <c r="E55" s="35">
        <f>IF(C55="Monthly Rent Charge",$D$3,"")</f>
        <v/>
      </c>
      <c r="F55" s="35">
        <f>IF(C55="Monthly Rent Charge",$F$3,"")</f>
        <v/>
      </c>
      <c r="G55" s="41" t="n">
        <v>5400</v>
      </c>
      <c r="H55" s="39" t="inlineStr">
        <is>
          <t>TKAD79W04K</t>
        </is>
      </c>
      <c r="I55" s="36">
        <f>IF(A55="","",IF(C55="Payment Received",I54-IFERROR(G55,0),IF(C55="Monthly Rent Charge",I54+IFERROR(E55,0)+IFERROR(F55,0),I54)))</f>
        <v/>
      </c>
      <c r="J55" s="37" t="n"/>
    </row>
    <row r="56" ht="15" customHeight="1" s="62">
      <c r="A56" s="53" t="n">
        <v>45976</v>
      </c>
      <c r="B56" s="33" t="n"/>
      <c r="C56" s="34" t="inlineStr">
        <is>
          <t>Payment Received</t>
        </is>
      </c>
      <c r="D56" s="34" t="n"/>
      <c r="E56" s="35">
        <f>IF(C56="Monthly Rent Charge",$D$3,"")</f>
        <v/>
      </c>
      <c r="F56" s="35">
        <f>IF(C56="Monthly Rent Charge",$F$3,"")</f>
        <v/>
      </c>
      <c r="G56" s="41" t="n">
        <v>300</v>
      </c>
      <c r="H56" s="39" t="inlineStr">
        <is>
          <t>TKFD7ACEI5</t>
        </is>
      </c>
      <c r="I56" s="36">
        <f>IF(A56="","",IF(C56="Payment Received",I55-IFERROR(G56,0),IF(C56="Monthly Rent Charge",I55+IFERROR(E56,0)+IFERROR(F56,0),I55)))</f>
        <v/>
      </c>
      <c r="J56" s="37" t="n"/>
    </row>
    <row r="57" ht="15" customHeight="1" s="62">
      <c r="A57" s="54" t="n">
        <v>45992</v>
      </c>
      <c r="B57" s="33" t="inlineStr">
        <is>
          <t>December</t>
        </is>
      </c>
      <c r="C57" s="34">
        <f>IF(B57="","","Monthly Rent Charge")</f>
        <v/>
      </c>
      <c r="D57" s="34" t="n"/>
      <c r="E57" s="35">
        <f>IF(C57="Monthly Rent Charge",$D$3,"")</f>
        <v/>
      </c>
      <c r="F57" s="35">
        <f>IF(C57="Monthly Rent Charge",$F$3,"")</f>
        <v/>
      </c>
      <c r="G57" s="41" t="n"/>
      <c r="H57" s="34" t="n"/>
      <c r="I57" s="36">
        <f>IF(A57="","",IF(C57="Payment Received",I56-IFERROR(G57,0),IF(C57="Monthly Rent Charge",I56+IFERROR(E57,0)+IFERROR(F57,0),I56)))</f>
        <v/>
      </c>
      <c r="J57" s="37" t="n"/>
    </row>
    <row r="58" ht="15" customHeight="1" s="62">
      <c r="A58" s="53" t="n">
        <v>46001</v>
      </c>
      <c r="B58" s="33" t="n"/>
      <c r="C58" s="34" t="inlineStr">
        <is>
          <t>Payment Received</t>
        </is>
      </c>
      <c r="D58" s="34" t="n"/>
      <c r="E58" s="35">
        <f>IF(C58="Monthly Rent Charge",$D$3,"")</f>
        <v/>
      </c>
      <c r="F58" s="35">
        <f>IF(C58="Monthly Rent Charge",$F$3,"")</f>
        <v/>
      </c>
      <c r="G58" s="41" t="n">
        <v>5000</v>
      </c>
      <c r="H58" s="39" t="inlineStr">
        <is>
          <t>TLAD70PGME</t>
        </is>
      </c>
      <c r="I58" s="36">
        <f>IF(A58="","",IF(C58="Payment Received",I57-IFERROR(G58,0),IF(C58="Monthly Rent Charge",I57+IFERROR(E58,0)+IFERROR(F58,0),I57)))</f>
        <v/>
      </c>
      <c r="J58" s="37" t="n"/>
    </row>
    <row r="59" ht="15" customHeight="1" s="62">
      <c r="A59" s="53" t="n">
        <v>46004</v>
      </c>
      <c r="B59" s="33" t="n"/>
      <c r="C59" s="34" t="inlineStr">
        <is>
          <t>Payment Received</t>
        </is>
      </c>
      <c r="D59" s="34" t="n"/>
      <c r="E59" s="35">
        <f>IF(C59="Monthly Rent Charge",$D$3,"")</f>
        <v/>
      </c>
      <c r="F59" s="35">
        <f>IF(C59="Monthly Rent Charge",$F$3,"")</f>
        <v/>
      </c>
      <c r="G59" s="41" t="n">
        <v>700</v>
      </c>
      <c r="H59" s="39" t="inlineStr">
        <is>
          <t>TLDD70Z86L</t>
        </is>
      </c>
      <c r="I59" s="36">
        <f>IF(A59="","",IF(C59="Payment Received",I58-IFERROR(G59,0),IF(C59="Monthly Rent Charge",I58+IFERROR(E59,0)+IFERROR(F59,0),I58)))</f>
        <v/>
      </c>
      <c r="J59" s="37" t="n"/>
    </row>
    <row r="60" ht="15" customHeight="1" s="62">
      <c r="A60" s="54">
        <f>IF(B60="","",DATE(YEAR(TODAY()),MATCH(B60,{"January","February","March","April","May","June","July","August","September","October","November","December"},0),1))</f>
        <v/>
      </c>
      <c r="B60" s="33" t="inlineStr">
        <is>
          <t>January</t>
        </is>
      </c>
      <c r="C60" s="34">
        <f>IF(B60="","","Monthly Rent Charge")</f>
        <v/>
      </c>
      <c r="D60" s="34" t="n"/>
      <c r="E60" s="35">
        <f>IF(C60="Monthly Rent Charge",$D$3,"")</f>
        <v/>
      </c>
      <c r="F60" s="35">
        <f>IF(C60="Monthly Rent Charge",$F$3,"")</f>
        <v/>
      </c>
      <c r="G60" s="41" t="n"/>
      <c r="H60" s="34" t="n"/>
      <c r="I60" s="36">
        <f>IF(A60="","",IF(C60="Payment Received",I59-IFERROR(G60,0),IF(C60="Monthly Rent Charge",I59+IFERROR(E60,0)+IFERROR(F60,0),I59)))</f>
        <v/>
      </c>
      <c r="J60" s="37" t="n"/>
    </row>
    <row r="61" ht="15" customHeight="1" s="62">
      <c r="A61" s="53" t="n">
        <v>46032</v>
      </c>
      <c r="B61" s="33" t="n"/>
      <c r="C61" s="34" t="inlineStr">
        <is>
          <t>Payment Received</t>
        </is>
      </c>
      <c r="D61" s="34" t="n"/>
      <c r="E61" s="35">
        <f>IF(C61="Monthly Rent Charge",$D$3,"")</f>
        <v/>
      </c>
      <c r="F61" s="35">
        <f>IF(C61="Monthly Rent Charge",$F$3,"")</f>
        <v/>
      </c>
      <c r="G61" s="41" t="n">
        <v>5000</v>
      </c>
      <c r="H61" s="39" t="inlineStr">
        <is>
          <t>UAAD73MF1N</t>
        </is>
      </c>
      <c r="I61" s="36">
        <f>IF(A61="","",IF(C61="Payment Received",I60-IFERROR(G61,0),IF(C61="Monthly Rent Charge",I60+IFERROR(E61,0)+IFERROR(F61,0),I60)))</f>
        <v/>
      </c>
      <c r="J61" s="37" t="n"/>
    </row>
    <row r="62" ht="15" customHeight="1" s="62">
      <c r="A62" s="53" t="n">
        <v>46051</v>
      </c>
      <c r="B62" s="33" t="n"/>
      <c r="C62" s="34" t="inlineStr">
        <is>
          <t>Payment Received</t>
        </is>
      </c>
      <c r="D62" s="34" t="n"/>
      <c r="E62" s="35">
        <f>IF(C62="Monthly Rent Charge",$D$3,"")</f>
        <v/>
      </c>
      <c r="F62" s="35">
        <f>IF(C62="Monthly Rent Charge",$F$3,"")</f>
        <v/>
      </c>
      <c r="G62" s="41" t="n">
        <v>700</v>
      </c>
      <c r="H62" s="39" t="inlineStr">
        <is>
          <t>UATD75CB7K</t>
        </is>
      </c>
      <c r="I62" s="36">
        <f>IF(A62="","",IF(C62="Payment Received",I61-IFERROR(G62,0),IF(C62="Monthly Rent Charge",I61+IFERROR(E62,0)+IFERROR(F62,0),I61)))</f>
        <v/>
      </c>
      <c r="J62" s="37" t="n"/>
    </row>
    <row r="63" ht="15" customHeight="1" s="62">
      <c r="A63" s="54">
        <f>IF(B63="","",DATE(YEAR(TODAY()),MATCH(B63,{"January","February","March","April","May","June","July","August","September","October","November","December"},0),1))</f>
        <v/>
      </c>
      <c r="B63" s="33" t="inlineStr">
        <is>
          <t>February</t>
        </is>
      </c>
      <c r="C63" s="34">
        <f>IF(B63="","","Monthly Rent Charge")</f>
        <v/>
      </c>
      <c r="D63" s="34" t="n"/>
      <c r="E63" s="35">
        <f>IF(C63="Monthly Rent Charge",$D$3,"")</f>
        <v/>
      </c>
      <c r="F63" s="35">
        <f>IF(C63="Monthly Rent Charge",$F$3,"")</f>
        <v/>
      </c>
      <c r="G63" s="41" t="n"/>
      <c r="H63" s="34" t="n"/>
      <c r="I63" s="36">
        <f>IF(A63="","",IF(C63="Payment Received",I62-IFERROR(G63,0),IF(C63="Monthly Rent Charge",I62+IFERROR(E63,0)+IFERROR(F63,0),I62)))</f>
        <v/>
      </c>
      <c r="J63" s="37" t="n"/>
    </row>
    <row r="64" ht="15" customHeight="1" s="62">
      <c r="A64" s="53" t="n">
        <v>46064</v>
      </c>
      <c r="B64" s="33" t="n"/>
      <c r="C64" s="34" t="inlineStr">
        <is>
          <t>Payment Received</t>
        </is>
      </c>
      <c r="D64" s="34" t="n"/>
      <c r="E64" s="35">
        <f>IF(C64="Monthly Rent Charge",$D$3,"")</f>
        <v/>
      </c>
      <c r="F64" s="35">
        <f>IF(C64="Monthly Rent Charge",$F$3,"")</f>
        <v/>
      </c>
      <c r="G64" s="41" t="n">
        <v>2700</v>
      </c>
      <c r="H64" s="39" t="inlineStr">
        <is>
          <t>UBBD76MB0Q</t>
        </is>
      </c>
      <c r="I64" s="36">
        <f>IF(A64="","",IF(C64="Payment Received",I63-IFERROR(G64,0),IF(C64="Monthly Rent Charge",I63+IFERROR(E64,0)+IFERROR(F64,0),I63)))</f>
        <v/>
      </c>
      <c r="J64" s="37" t="n"/>
    </row>
    <row r="65" ht="15" customHeight="1" s="62">
      <c r="A65" s="53" t="n">
        <v>46073</v>
      </c>
      <c r="B65" s="33" t="n"/>
      <c r="C65" s="34" t="inlineStr">
        <is>
          <t>Payment Received</t>
        </is>
      </c>
      <c r="D65" s="34" t="n"/>
      <c r="E65" s="35">
        <f>IF(C65="Monthly Rent Charge",$D$3,"")</f>
        <v/>
      </c>
      <c r="F65" s="35">
        <f>IF(C65="Monthly Rent Charge",$F$3,"")</f>
        <v/>
      </c>
      <c r="G65" s="41" t="n">
        <v>3000</v>
      </c>
      <c r="H65" s="39" t="inlineStr">
        <is>
          <t>UBKD77IF6B</t>
        </is>
      </c>
      <c r="I65" s="36">
        <f>IF(A65="","",IF(C65="Payment Received",I64-IFERROR(G65,0),IF(C65="Monthly Rent Charge",I64+IFERROR(E65,0)+IFERROR(F65,0),I64)))</f>
        <v/>
      </c>
      <c r="J65" s="37" t="n"/>
    </row>
    <row r="66" ht="15" customHeight="1" s="62">
      <c r="A66" s="54">
        <f>IF(B66="","",DATE(YEAR(TODAY()),MATCH(B66,{"January","February","March","April","May","June","July","August","September","October","November","December"},0),1))</f>
        <v/>
      </c>
      <c r="B66" s="33" t="inlineStr">
        <is>
          <t>March</t>
        </is>
      </c>
      <c r="C66" s="34">
        <f>IF(B66="","","Monthly Rent Charge")</f>
        <v/>
      </c>
      <c r="D66" s="34" t="n"/>
      <c r="E66" s="35">
        <f>IF(C66="Monthly Rent Charge",$D$3,"")</f>
        <v/>
      </c>
      <c r="F66" s="35">
        <f>IF(C66="Monthly Rent Charge",$F$3,"")</f>
        <v/>
      </c>
      <c r="G66" s="41" t="n"/>
      <c r="H66" s="34" t="n"/>
      <c r="I66" s="36">
        <f>IF(A66="","",IF(C66="Payment Received",I65-IFERROR(G66,0),IF(C66="Monthly Rent Charge",I65+IFERROR(E66,0)+IFERROR(F66,0),I65)))</f>
        <v/>
      </c>
      <c r="J66" s="37" t="n"/>
    </row>
    <row r="67" ht="15" customHeight="1" s="62">
      <c r="A67" s="53" t="n">
        <v>46091</v>
      </c>
      <c r="B67" s="33" t="n"/>
      <c r="C67" s="34" t="inlineStr">
        <is>
          <t>Payment Received</t>
        </is>
      </c>
      <c r="D67" s="34" t="n"/>
      <c r="E67" s="35">
        <f>IF(C67="Monthly Rent Charge",$D$3,"")</f>
        <v/>
      </c>
      <c r="F67" s="35">
        <f>IF(C67="Monthly Rent Charge",$F$3,"")</f>
        <v/>
      </c>
      <c r="G67" s="41" t="n">
        <v>5000</v>
      </c>
      <c r="H67" s="39" t="inlineStr">
        <is>
          <t>UCAD798LB7</t>
        </is>
      </c>
      <c r="I67" s="36">
        <f>IF(A67="","",IF(C67="Payment Received",I66-IFERROR(G67,0),IF(C67="Monthly Rent Charge",I66+IFERROR(E67,0)+IFERROR(F67,0),I66)))</f>
        <v/>
      </c>
      <c r="J67" s="37" t="n"/>
    </row>
    <row r="68" ht="15" customHeight="1" s="62">
      <c r="A68" s="53" t="n">
        <v>46111</v>
      </c>
      <c r="B68" s="33" t="n"/>
      <c r="C68" s="34" t="inlineStr">
        <is>
          <t>Payment Received</t>
        </is>
      </c>
      <c r="D68" s="34" t="n"/>
      <c r="E68" s="35">
        <f>IF(C68="Monthly Rent Charge",$D$3,"")</f>
        <v/>
      </c>
      <c r="F68" s="35">
        <f>IF(C68="Monthly Rent Charge",$F$3,"")</f>
        <v/>
      </c>
      <c r="G68" s="41" t="n">
        <v>700</v>
      </c>
      <c r="H68" s="39" t="inlineStr">
        <is>
          <t>UCUD7BBSS4</t>
        </is>
      </c>
      <c r="I68" s="36">
        <f>IF(A68="","",IF(C68="Payment Received",I67-IFERROR(G68,0),IF(C68="Monthly Rent Charge",I67+IFERROR(E68,0)+IFERROR(F68,0),I67)))</f>
        <v/>
      </c>
      <c r="J68" s="37" t="n"/>
    </row>
    <row r="69" ht="15" customHeight="1" s="62">
      <c r="A69" s="54">
        <f>IF(B69="","",DATE(YEAR(TODAY()),MATCH(B69,{"January","February","March","April","May","June","July","August","September","October","November","December"},0),1))</f>
        <v/>
      </c>
      <c r="B69" s="33" t="inlineStr">
        <is>
          <t>April</t>
        </is>
      </c>
      <c r="C69" s="34">
        <f>IF(B69="","","Monthly Rent Charge")</f>
        <v/>
      </c>
      <c r="D69" s="34" t="n"/>
      <c r="E69" s="35">
        <f>IF(C69="Monthly Rent Charge",$D$3,"")</f>
        <v/>
      </c>
      <c r="F69" s="35">
        <f>IF(C69="Monthly Rent Charge",$F$3,"")</f>
        <v/>
      </c>
      <c r="G69" s="41" t="n"/>
      <c r="H69" s="34" t="n"/>
      <c r="I69" s="36">
        <f>IF(A69="","",IF(C69="Payment Received",I68-IFERROR(G69,0),IF(C69="Monthly Rent Charge",I68+IFERROR(E69,0)+IFERROR(F69,0),I68)))</f>
        <v/>
      </c>
      <c r="J69" s="37" t="n"/>
    </row>
    <row r="70" ht="15" customHeight="1" s="62">
      <c r="A70" s="53" t="n">
        <v>46122</v>
      </c>
      <c r="B70" s="33" t="n"/>
      <c r="C70" s="34" t="inlineStr">
        <is>
          <t>Payment Received</t>
        </is>
      </c>
      <c r="D70" s="34" t="n"/>
      <c r="E70" s="35">
        <f>IF(C70="Monthly Rent Charge",$D$3,"")</f>
        <v/>
      </c>
      <c r="F70" s="35">
        <f>IF(C70="Monthly Rent Charge",$F$3,"")</f>
        <v/>
      </c>
      <c r="G70" s="41" t="n">
        <v>5000</v>
      </c>
      <c r="H70" s="39" t="inlineStr">
        <is>
          <t>UDAD70QPBY</t>
        </is>
      </c>
      <c r="I70" s="36">
        <f>IF(A70="","",IF(C70="Payment Received",I69-IFERROR(G70,0),IF(C70="Monthly Rent Charge",I69+IFERROR(E70,0)+IFERROR(F70,0),I69)))</f>
        <v/>
      </c>
      <c r="J70" s="37" t="n"/>
    </row>
    <row r="71" ht="15" customHeight="1" s="62">
      <c r="A71" s="53" t="n">
        <v>46136</v>
      </c>
      <c r="B71" s="33" t="n"/>
      <c r="C71" s="34" t="inlineStr">
        <is>
          <t>Payment Received</t>
        </is>
      </c>
      <c r="D71" s="34" t="n"/>
      <c r="E71" s="35">
        <f>IF(C71="Monthly Rent Charge",$D$3,"")</f>
        <v/>
      </c>
      <c r="F71" s="35">
        <f>IF(C71="Monthly Rent Charge",$F$3,"")</f>
        <v/>
      </c>
      <c r="G71" s="41" t="n">
        <v>700</v>
      </c>
      <c r="H71" s="39" t="inlineStr">
        <is>
          <t>UDOD72C3UD</t>
        </is>
      </c>
      <c r="I71" s="36">
        <f>IF(A71="","",IF(C71="Payment Received",I70-IFERROR(G71,0),IF(C71="Monthly Rent Charge",I70+IFERROR(E71,0)+IFERROR(F71,0),I70)))</f>
        <v/>
      </c>
      <c r="J71" s="37" t="n"/>
    </row>
    <row r="72" ht="15" customHeight="1" s="62">
      <c r="A72" s="54">
        <f>IF(B72="","",DATE(YEAR(TODAY()),MATCH(B72,{"January","February","March","April","May","June","July","August","September","October","November","December"},0),1))</f>
        <v/>
      </c>
      <c r="B72" s="33" t="inlineStr">
        <is>
          <t>May</t>
        </is>
      </c>
      <c r="C72" s="34">
        <f>IF(B72="","","Monthly Rent Charge")</f>
        <v/>
      </c>
      <c r="D72" s="34" t="n"/>
      <c r="E72" s="35">
        <f>IF(C72="Monthly Rent Charge",$D$3,"")</f>
        <v/>
      </c>
      <c r="F72" s="35">
        <f>IF(C72="Monthly Rent Charge",$F$3,"")</f>
        <v/>
      </c>
      <c r="G72" s="41" t="n"/>
      <c r="H72" s="34" t="n"/>
      <c r="I72" s="36">
        <f>IF(AND(A72="",C72=""),"",IF(C72="Payment Received",I71-IFERROR(G72,0),IF(C72="Monthly Rent Charge",I71+IFERROR(E72,0)+IFERROR(F72,0),I71)))</f>
        <v/>
      </c>
      <c r="J72" s="37" t="n"/>
    </row>
    <row r="73" ht="15" customHeight="1" s="62">
      <c r="A73" s="54" t="n">
        <v>46152</v>
      </c>
      <c r="B73" s="33" t="n"/>
      <c r="C73" s="34" t="inlineStr">
        <is>
          <t>Payment Received</t>
        </is>
      </c>
      <c r="D73" s="34" t="n"/>
      <c r="E73" s="35">
        <f>IF(C73="Monthly Rent Charge",$D$3,"")</f>
        <v/>
      </c>
      <c r="F73" s="35">
        <f>IF(C73="Monthly Rent Charge",$F$3,"")</f>
        <v/>
      </c>
      <c r="G73" s="41" t="n">
        <v>2000</v>
      </c>
      <c r="H73" s="34" t="inlineStr">
        <is>
          <t>UEAD7474Y9</t>
        </is>
      </c>
      <c r="I73" s="36">
        <f>IF(AND(A73="",C73=""),"",IF(C73="Payment Received",I72-IFERROR(G73,0),IF(C73="Monthly Rent Charge",I72+IFERROR(E73,0)+IFERROR(F73,0),I72)))</f>
        <v/>
      </c>
      <c r="J73" s="37" t="n"/>
    </row>
    <row r="74" ht="15" customHeight="1" s="62">
      <c r="A74" s="54" t="n">
        <v>46169</v>
      </c>
      <c r="B74" s="33" t="n"/>
      <c r="C74" s="34" t="inlineStr">
        <is>
          <t>Payment Received</t>
        </is>
      </c>
      <c r="D74" s="34" t="n"/>
      <c r="E74" s="35">
        <f>IF(C74="Monthly Rent Charge",$D$3,"")</f>
        <v/>
      </c>
      <c r="F74" s="35">
        <f>IF(C74="Monthly Rent Charge",$F$3,"")</f>
        <v/>
      </c>
      <c r="G74" s="41" t="n">
        <v>3700</v>
      </c>
      <c r="H74" s="34" t="inlineStr">
        <is>
          <t>UEPD75W5NC</t>
        </is>
      </c>
      <c r="I74" s="36">
        <f>IF(AND(A74="",C74=""),"",IF(C74="Payment Received",I73-IFERROR(G74,0),IF(C74="Monthly Rent Charge",I73+IFERROR(E74,0)+IFERROR(F74,0),I73)))</f>
        <v/>
      </c>
      <c r="J74" s="37" t="n"/>
    </row>
    <row r="75" ht="15" customHeight="1" s="62">
      <c r="A75" s="54">
        <f>IF(B75="","",DATE(YEAR(TODAY()),MATCH(B75,{"January","February","March","April","May","June","July","August","September","October","November","December"},0),1))</f>
        <v/>
      </c>
      <c r="B75" s="33" t="inlineStr">
        <is>
          <t>June</t>
        </is>
      </c>
      <c r="C75" s="34">
        <f>IF(B75="","","Monthly Rent Charge")</f>
        <v/>
      </c>
      <c r="D75" s="34" t="n"/>
      <c r="E75" s="35">
        <f>IF(C75="Monthly Rent Charge",$D$3,"")</f>
        <v/>
      </c>
      <c r="F75" s="35">
        <f>IF(C75="Monthly Rent Charge",$F$3,"")</f>
        <v/>
      </c>
      <c r="G75" s="41" t="n"/>
      <c r="H75" s="34" t="n"/>
      <c r="I75" s="36">
        <f>IF(AND(A75="",C75=""),"",IF(C75="Payment Received",I74-IFERROR(G75,0),IF(C75="Monthly Rent Charge",I74+IFERROR(E75,0)+IFERROR(F75,0),I74)))</f>
        <v/>
      </c>
      <c r="J75" s="37" t="n"/>
    </row>
    <row r="76" ht="15" customHeight="1" s="62">
      <c r="A76" s="54" t="n">
        <v>46183</v>
      </c>
      <c r="B76" s="33" t="n"/>
      <c r="C76" s="34" t="inlineStr">
        <is>
          <t>Payment Received</t>
        </is>
      </c>
      <c r="D76" s="34" t="n"/>
      <c r="E76" s="35">
        <f>IF(C76="Monthly Rent Charge",$D$3,"")</f>
        <v/>
      </c>
      <c r="F76" s="35">
        <f>IF(C76="Monthly Rent Charge",$F$3,"")</f>
        <v/>
      </c>
      <c r="G76" s="41" t="n">
        <v>5000</v>
      </c>
      <c r="H76" s="34" t="inlineStr">
        <is>
          <t>UFAD77PMMY</t>
        </is>
      </c>
      <c r="I76" s="36">
        <f>IF(AND(A76="",C76=""),"",IF(C76="Payment Received",I75-IFERROR(G76,0),IF(C76="Monthly Rent Charge",I75+IFERROR(E76,0)+IFERROR(F76,0),I75)))</f>
        <v/>
      </c>
      <c r="J76" s="37" t="n"/>
    </row>
    <row r="77" ht="15" customHeight="1" s="62">
      <c r="A77" s="54" t="n">
        <v>46195</v>
      </c>
      <c r="B77" s="33" t="n"/>
      <c r="C77" s="34" t="inlineStr">
        <is>
          <t>Payment Received</t>
        </is>
      </c>
      <c r="D77" s="34" t="n"/>
      <c r="E77" s="35">
        <f>IF(C77="Monthly Rent Charge",$D$3,"")</f>
        <v/>
      </c>
      <c r="F77" s="35">
        <f>IF(C77="Monthly Rent Charge",$F$3,"")</f>
        <v/>
      </c>
      <c r="G77" s="41" t="n">
        <v>700</v>
      </c>
      <c r="H77" s="34" t="inlineStr">
        <is>
          <t>UFMD797GYN</t>
        </is>
      </c>
      <c r="I77" s="36">
        <f>IF(AND(A77="",C77=""),"",IF(C77="Payment Received",I76-IFERROR(G77,0),IF(C77="Monthly Rent Charge",I76+IFERROR(E77,0)+IFERROR(F77,0),IFERROR(I76,0))))</f>
        <v/>
      </c>
      <c r="J77" s="37" t="n"/>
    </row>
    <row r="78" ht="15" customHeight="1" s="62">
      <c r="A78" s="54">
        <f>IF(B78="","",DATE(YEAR(TODAY()),MATCH(B78,{"January","February","March","April","May","June","July","August","September","October","November","December"},0),1))</f>
        <v/>
      </c>
      <c r="B78" s="33" t="inlineStr">
        <is>
          <t>July</t>
        </is>
      </c>
      <c r="C78" s="34">
        <f>IF(B78="","","Monthly Rent Charge")</f>
        <v/>
      </c>
      <c r="D78" s="34" t="n"/>
      <c r="E78" s="35">
        <f>IF(C78="Monthly Rent Charge",$D$3,"")</f>
        <v/>
      </c>
      <c r="F78" s="35">
        <f>IF(C78="Monthly Rent Charge",$F$3,"")</f>
        <v/>
      </c>
      <c r="G78" s="41" t="n"/>
      <c r="H78" s="34" t="n"/>
      <c r="I78" s="36">
        <f>IF(AND(A78="",C78=""),"",IF(C78="Payment Received",I77-IFERROR(G78,0),IF(C78="Monthly Rent Charge",I77+IFERROR(E78,0)+IFERROR(F78,0),IFERROR(I77,0))))</f>
        <v/>
      </c>
      <c r="J78" s="37" t="n"/>
    </row>
    <row r="79" ht="15" customHeight="1" s="62">
      <c r="A79" s="54" t="n">
        <v>46213</v>
      </c>
      <c r="B79" s="33" t="n"/>
      <c r="C79" s="34" t="inlineStr">
        <is>
          <t>Payment Received</t>
        </is>
      </c>
      <c r="D79" s="34" t="n"/>
      <c r="E79" s="35">
        <f>IF(C79="Monthly Rent Charge",$D$3,"")</f>
        <v/>
      </c>
      <c r="F79" s="35">
        <f>IF(C79="Monthly Rent Charge",$F$3,"")</f>
        <v/>
      </c>
      <c r="G79" s="41" t="n">
        <v>4000</v>
      </c>
      <c r="H79" s="34" t="inlineStr">
        <is>
          <t>UGAD7BBHHE</t>
        </is>
      </c>
      <c r="I79" s="36">
        <f>IF(AND(A79="",C79=""),"",IF(C79="Payment Received",I78-IFERROR(G79,0),IF(C79="Monthly Rent Charge",I78+IFERROR(E79,0)+IFERROR(F79,0),IFERROR(I78,0))))</f>
        <v/>
      </c>
      <c r="J79" s="37" t="n"/>
    </row>
    <row r="80" ht="15" customHeight="1" s="62">
      <c r="A80" s="54" t="n">
        <v>46219</v>
      </c>
      <c r="B80" s="33" t="n"/>
      <c r="C80" s="34" t="inlineStr">
        <is>
          <t>Payment Received</t>
        </is>
      </c>
      <c r="D80" s="34" t="n"/>
      <c r="E80" s="35">
        <f>IF(C80="Monthly Rent Charge",$D$3,"")</f>
        <v/>
      </c>
      <c r="F80" s="35">
        <f>IF(C80="Monthly Rent Charge",$F$3,"")</f>
        <v/>
      </c>
      <c r="G80" s="41" t="n">
        <v>1700</v>
      </c>
      <c r="H80" s="34" t="inlineStr">
        <is>
          <t>UGGD703GR1</t>
        </is>
      </c>
      <c r="I80" s="36">
        <f>IF(AND(A80="",C80=""),"",IF(C80="Payment Received",I79-IFERROR(G80,0),IF(C80="Monthly Rent Charge",I79+IFERROR(E80,0)+IFERROR(F80,0),IFERROR(I79,0))))</f>
        <v/>
      </c>
      <c r="J80" s="37" t="n"/>
    </row>
    <row r="81" ht="15" customHeight="1" s="62">
      <c r="A81" s="54">
        <f>IF(B81="","",DATE(YEAR(TODAY()),MATCH(B81,{"January","February","March","April","May","June","July","August","September","October","November","December"},0),1))</f>
        <v/>
      </c>
      <c r="B81" s="33" t="inlineStr">
        <is>
          <t>August</t>
        </is>
      </c>
      <c r="C81" s="34">
        <f>IF(B81="","","Monthly Rent Charge")</f>
        <v/>
      </c>
      <c r="D81" s="34" t="n"/>
      <c r="E81" s="35">
        <f>IF(C81="Monthly Rent Charge",$D$3,"")</f>
        <v/>
      </c>
      <c r="F81" s="35">
        <f>IF(C81="Monthly Rent Charge",$F$3,"")</f>
        <v/>
      </c>
      <c r="G81" s="41" t="n"/>
      <c r="H81" s="34" t="n"/>
      <c r="I81" s="36">
        <f>IF(AND(A81="",C81=""),"",IF(C81="Payment Received",I80-IFERROR(G81,0),IF(C81="Monthly Rent Charge",I80+IFERROR(E81,0)+IFERROR(F81,0),IFERROR(I80,0))))</f>
        <v/>
      </c>
      <c r="J81" s="37" t="n"/>
    </row>
    <row r="82" ht="15" customHeight="1" s="62">
      <c r="A82" s="54" t="n">
        <v>46244</v>
      </c>
      <c r="B82" s="33" t="n"/>
      <c r="C82" s="34" t="inlineStr">
        <is>
          <t>Payment Received</t>
        </is>
      </c>
      <c r="D82" s="34" t="n"/>
      <c r="E82" s="35">
        <f>IF(C82="Monthly Rent Charge",$D$3,"")</f>
        <v/>
      </c>
      <c r="F82" s="35">
        <f>IF(C82="Monthly Rent Charge",$F$3,"")</f>
        <v/>
      </c>
      <c r="G82" s="41" t="n">
        <v>4400</v>
      </c>
      <c r="H82" s="34" t="inlineStr">
        <is>
          <t>UHAD72ZSSD</t>
        </is>
      </c>
      <c r="I82" s="36">
        <f>IF(AND(A82="",C82=""),"",IF(C82="Payment Received",I81-IFERROR(G82,0),IF(C82="Monthly Rent Charge",I81+IFERROR(E82,0)+IFERROR(F82,0),IFERROR(I81,0))))</f>
        <v/>
      </c>
      <c r="J82" s="37" t="n"/>
    </row>
    <row r="83" ht="15" customHeight="1" s="62">
      <c r="A83" s="54">
        <f>IF(B83="","",DATE(YEAR(TODAY()),MATCH(B83,{"January","February","March","April","May","June","July","August","September","October","November","December"},0),1))</f>
        <v/>
      </c>
      <c r="B83" s="33" t="n"/>
      <c r="C83" s="34">
        <f>IF(B83="","","Monthly Rent Charge")</f>
        <v/>
      </c>
      <c r="D83" s="34" t="n"/>
      <c r="E83" s="35">
        <f>IF(C83="Monthly Rent Charge",$D$3,"")</f>
        <v/>
      </c>
      <c r="F83" s="35">
        <f>IF(C83="Monthly Rent Charge",$F$3,"")</f>
        <v/>
      </c>
      <c r="G83" s="41" t="n"/>
      <c r="H83" s="34" t="n"/>
      <c r="I83" s="36">
        <f>IF(AND(A83="",C83=""),"",IF(C83="Payment Received",I82-IFERROR(G83,0),IF(C83="Monthly Rent Charge",I82+IFERROR(E83,0)+IFERROR(F83,0),IFERROR(I82,0))))</f>
        <v/>
      </c>
      <c r="J83" s="37" t="n"/>
    </row>
    <row r="84" ht="15" customHeight="1" s="62">
      <c r="A84" s="54">
        <f>IF(B84="","",DATE(YEAR(TODAY()),MATCH(B84,{"January","February","March","April","May","June","July","August","September","October","November","December"},0),1))</f>
        <v/>
      </c>
      <c r="B84" s="33" t="n"/>
      <c r="C84" s="34">
        <f>IF(B84="","","Monthly Rent Charge")</f>
        <v/>
      </c>
      <c r="D84" s="34" t="n"/>
      <c r="E84" s="35">
        <f>IF(C84="Monthly Rent Charge",$D$3,"")</f>
        <v/>
      </c>
      <c r="F84" s="35">
        <f>IF(C84="Monthly Rent Charge",$F$3,"")</f>
        <v/>
      </c>
      <c r="G84" s="41" t="n"/>
      <c r="H84" s="34" t="n"/>
      <c r="I84" s="36">
        <f>IF(AND(A84="",C84=""),"",IF(C84="Payment Received",I83-IFERROR(G84,0),IF(C84="Monthly Rent Charge",I83+IFERROR(E84,0)+IFERROR(F84,0),IFERROR(I83,0))))</f>
        <v/>
      </c>
      <c r="J84" s="37" t="n"/>
    </row>
    <row r="85" ht="15" customHeight="1" s="62">
      <c r="A85" s="54">
        <f>IF(B85="","",DATE(YEAR(TODAY()),MATCH(B85,{"January","February","March","April","May","June","July","August","September","October","November","December"},0),1))</f>
        <v/>
      </c>
      <c r="B85" s="33" t="n"/>
      <c r="C85" s="34">
        <f>IF(B85="","","Monthly Rent Charge")</f>
        <v/>
      </c>
      <c r="D85" s="34" t="n"/>
      <c r="E85" s="35">
        <f>IF(C85="Monthly Rent Charge",$D$3,"")</f>
        <v/>
      </c>
      <c r="F85" s="35">
        <f>IF(C85="Monthly Rent Charge",$F$3,"")</f>
        <v/>
      </c>
      <c r="G85" s="41" t="n"/>
      <c r="H85" s="34" t="n"/>
      <c r="I85" s="36">
        <f>IF(AND(A85="",C85=""),"",IF(C85="Payment Received",I84-IFERROR(G85,0),IF(C85="Monthly Rent Charge",I84+IFERROR(E85,0)+IFERROR(F85,0),IFERROR(I84,0))))</f>
        <v/>
      </c>
      <c r="J85" s="37" t="n"/>
    </row>
    <row r="86" ht="15" customHeight="1" s="62">
      <c r="A86" s="54">
        <f>IF(B86="","",DATE(YEAR(TODAY()),MATCH(B86,{"January","February","March","April","May","June","July","August","September","October","November","December"},0),1))</f>
        <v/>
      </c>
      <c r="B86" s="33" t="n"/>
      <c r="C86" s="34">
        <f>IF(B86="","","Monthly Rent Charge")</f>
        <v/>
      </c>
      <c r="D86" s="34" t="n"/>
      <c r="E86" s="35">
        <f>IF(C86="Monthly Rent Charge",$D$3,"")</f>
        <v/>
      </c>
      <c r="F86" s="35">
        <f>IF(C86="Monthly Rent Charge",$F$3,"")</f>
        <v/>
      </c>
      <c r="G86" s="41" t="n"/>
      <c r="H86" s="34" t="n"/>
      <c r="I86" s="36">
        <f>IF(AND(A86="",C86=""),"",IF(C86="Payment Received",I85-IFERROR(G86,0),IF(C86="Monthly Rent Charge",I85+IFERROR(E86,0)+IFERROR(F86,0),IFERROR(I85,0))))</f>
        <v/>
      </c>
      <c r="J86" s="37" t="n"/>
    </row>
    <row r="87" ht="15" customHeight="1" s="62">
      <c r="A87" s="54">
        <f>IF(B87="","",DATE(YEAR(TODAY()),MATCH(B87,{"January","February","March","April","May","June","July","August","September","October","November","December"},0),1))</f>
        <v/>
      </c>
      <c r="B87" s="33" t="n"/>
      <c r="C87" s="34">
        <f>IF(B87="","","Monthly Rent Charge")</f>
        <v/>
      </c>
      <c r="D87" s="34" t="n"/>
      <c r="E87" s="35">
        <f>IF(C87="Monthly Rent Charge",$D$3,"")</f>
        <v/>
      </c>
      <c r="F87" s="35">
        <f>IF(C87="Monthly Rent Charge",$F$3,"")</f>
        <v/>
      </c>
      <c r="G87" s="41" t="n"/>
      <c r="H87" s="34" t="n"/>
      <c r="I87" s="36">
        <f>IF(AND(A87="",C87=""),"",IF(C87="Payment Received",I86-IFERROR(G87,0),IF(C87="Monthly Rent Charge",I86+IFERROR(E87,0)+IFERROR(F87,0),IFERROR(I86,0))))</f>
        <v/>
      </c>
      <c r="J87" s="37" t="n"/>
    </row>
    <row r="88" ht="15" customHeight="1" s="62">
      <c r="A88" s="54">
        <f>IF(B88="","",DATE(YEAR(TODAY()),MATCH(B88,{"January","February","March","April","May","June","July","August","September","October","November","December"},0),1))</f>
        <v/>
      </c>
      <c r="B88" s="33" t="n"/>
      <c r="C88" s="34">
        <f>IF(B88="","","Monthly Rent Charge")</f>
        <v/>
      </c>
      <c r="D88" s="34" t="n"/>
      <c r="E88" s="35">
        <f>IF(C88="Monthly Rent Charge",$D$3,"")</f>
        <v/>
      </c>
      <c r="F88" s="35">
        <f>IF(C88="Monthly Rent Charge",$F$3,"")</f>
        <v/>
      </c>
      <c r="G88" s="41" t="n"/>
      <c r="H88" s="34" t="n"/>
      <c r="I88" s="36">
        <f>IF(AND(A88="",C88=""),"",IF(C88="Payment Received",I87-IFERROR(G88,0),IF(C88="Monthly Rent Charge",I87+IFERROR(E88,0)+IFERROR(F88,0),IFERROR(I87,0))))</f>
        <v/>
      </c>
      <c r="J88" s="37" t="n"/>
    </row>
    <row r="89" ht="15" customHeight="1" s="62">
      <c r="A89" s="54">
        <f>IF(B89="","",DATE(YEAR(TODAY()),MATCH(B89,{"January","February","March","April","May","June","July","August","September","October","November","December"},0),1))</f>
        <v/>
      </c>
      <c r="B89" s="33" t="n"/>
      <c r="C89" s="34">
        <f>IF(B89="","","Monthly Rent Charge")</f>
        <v/>
      </c>
      <c r="D89" s="34" t="n"/>
      <c r="E89" s="35">
        <f>IF(C89="Monthly Rent Charge",$D$3,"")</f>
        <v/>
      </c>
      <c r="F89" s="35">
        <f>IF(C89="Monthly Rent Charge",$F$3,"")</f>
        <v/>
      </c>
      <c r="G89" s="41" t="n"/>
      <c r="H89" s="34" t="n"/>
      <c r="I89" s="36">
        <f>IF(AND(A89="",C89=""),"",IF(C89="Payment Received",I88-IFERROR(G89,0),IF(C89="Monthly Rent Charge",I88+IFERROR(E89,0)+IFERROR(F89,0),IFERROR(I88,0))))</f>
        <v/>
      </c>
      <c r="J89" s="37" t="n"/>
    </row>
    <row r="90" ht="15" customHeight="1" s="62">
      <c r="A90" s="54">
        <f>IF(B90="","",DATE(YEAR(TODAY()),MATCH(B90,{"January","February","March","April","May","June","July","August","September","October","November","December"},0),1))</f>
        <v/>
      </c>
      <c r="B90" s="33" t="n"/>
      <c r="C90" s="34">
        <f>IF(B90="","","Monthly Rent Charge")</f>
        <v/>
      </c>
      <c r="D90" s="34" t="n"/>
      <c r="E90" s="35">
        <f>IF(C90="Monthly Rent Charge",$D$3,"")</f>
        <v/>
      </c>
      <c r="F90" s="35">
        <f>IF(C90="Monthly Rent Charge",$F$3,"")</f>
        <v/>
      </c>
      <c r="G90" s="41" t="n"/>
      <c r="H90" s="34" t="n"/>
      <c r="I90" s="36">
        <f>IF(AND(A90="",C90=""),"",IF(C90="Payment Received",I89-IFERROR(G90,0),IF(C90="Monthly Rent Charge",I89+IFERROR(E90,0)+IFERROR(F90,0),IFERROR(I89,0))))</f>
        <v/>
      </c>
      <c r="J90" s="37" t="n"/>
    </row>
    <row r="91" ht="15" customHeight="1" s="62">
      <c r="A91" s="54">
        <f>IF(B91="","",DATE(YEAR(TODAY()),MATCH(B91,{"January","February","March","April","May","June","July","August","September","October","November","December"},0),1))</f>
        <v/>
      </c>
      <c r="B91" s="33" t="n"/>
      <c r="C91" s="34">
        <f>IF(B91="","","Monthly Rent Charge")</f>
        <v/>
      </c>
      <c r="D91" s="34" t="n"/>
      <c r="E91" s="35">
        <f>IF(C91="Monthly Rent Charge",$D$3,"")</f>
        <v/>
      </c>
      <c r="F91" s="35">
        <f>IF(C91="Monthly Rent Charge",$F$3,"")</f>
        <v/>
      </c>
      <c r="G91" s="41" t="n"/>
      <c r="H91" s="34" t="n"/>
      <c r="I91" s="36">
        <f>IF(AND(A91="",C91=""),"",IF(C91="Payment Received",I90-IFERROR(G91,0),IF(C91="Monthly Rent Charge",I90+IFERROR(E91,0)+IFERROR(F91,0),IFERROR(I90,0))))</f>
        <v/>
      </c>
      <c r="J91" s="37" t="n"/>
    </row>
    <row r="92" ht="15" customHeight="1" s="62">
      <c r="A92" s="54" t="n"/>
      <c r="B92" s="33" t="n"/>
      <c r="C92" s="34" t="n"/>
      <c r="D92" s="34" t="n"/>
      <c r="E92" s="35" t="n"/>
      <c r="F92" s="35" t="n"/>
      <c r="G92" s="41" t="n"/>
      <c r="H92" s="34" t="n"/>
      <c r="I92" s="36" t="n"/>
      <c r="J92" s="37" t="n"/>
    </row>
    <row r="93" ht="15" customHeight="1" s="62">
      <c r="A93" s="54" t="n"/>
      <c r="B93" s="33" t="n"/>
      <c r="C93" s="34" t="n"/>
      <c r="D93" s="34" t="n"/>
      <c r="E93" s="35" t="n"/>
      <c r="F93" s="35" t="n"/>
      <c r="G93" s="41" t="n"/>
      <c r="H93" s="34" t="n"/>
      <c r="I93" s="36" t="n"/>
      <c r="J93" s="37" t="n"/>
    </row>
    <row r="94" ht="15" customHeight="1" s="62">
      <c r="A94" s="54" t="n"/>
      <c r="B94" s="33" t="n"/>
      <c r="C94" s="34" t="n"/>
      <c r="D94" s="34" t="n"/>
      <c r="E94" s="35" t="n"/>
      <c r="F94" s="35" t="n"/>
      <c r="G94" s="41" t="n"/>
      <c r="H94" s="34" t="n"/>
      <c r="I94" s="36" t="n"/>
      <c r="J94" s="37" t="n"/>
    </row>
    <row r="95" ht="15" customHeight="1" s="62">
      <c r="A95" s="54" t="n"/>
      <c r="B95" s="33" t="n"/>
      <c r="C95" s="34" t="n"/>
      <c r="D95" s="34" t="n"/>
      <c r="E95" s="35" t="n"/>
      <c r="F95" s="35" t="n"/>
      <c r="G95" s="41" t="n"/>
      <c r="H95" s="34" t="n"/>
      <c r="I95" s="36" t="n"/>
      <c r="J95" s="37" t="n"/>
    </row>
    <row r="96" ht="15" customHeight="1" s="62">
      <c r="A96" s="54" t="n"/>
      <c r="B96" s="33" t="n"/>
      <c r="C96" s="34" t="n"/>
      <c r="D96" s="34" t="n"/>
      <c r="E96" s="35" t="n"/>
      <c r="F96" s="35" t="n"/>
      <c r="G96" s="41" t="n"/>
      <c r="H96" s="34" t="n"/>
      <c r="I96" s="36" t="n"/>
      <c r="J96" s="37" t="n"/>
    </row>
    <row r="97" ht="15" customHeight="1" s="62">
      <c r="A97" s="54" t="n"/>
      <c r="B97" s="33" t="n"/>
      <c r="C97" s="34" t="n"/>
      <c r="D97" s="34" t="n"/>
      <c r="E97" s="35" t="n"/>
      <c r="F97" s="35" t="n"/>
      <c r="G97" s="41" t="n"/>
      <c r="H97" s="34" t="n"/>
      <c r="I97" s="36" t="n"/>
      <c r="J97" s="37" t="n"/>
    </row>
    <row r="98" ht="15" customHeight="1" s="62">
      <c r="A98" s="54" t="n"/>
      <c r="B98" s="33" t="n"/>
      <c r="C98" s="34" t="n"/>
      <c r="D98" s="34" t="n"/>
      <c r="E98" s="35" t="n"/>
      <c r="F98" s="35" t="n"/>
      <c r="G98" s="41" t="n"/>
      <c r="H98" s="34" t="n"/>
      <c r="I98" s="36" t="n"/>
      <c r="J98" s="37" t="n"/>
    </row>
    <row r="99" ht="15" customHeight="1" s="62">
      <c r="A99" s="54" t="n"/>
      <c r="B99" s="33" t="n"/>
      <c r="C99" s="34" t="n"/>
      <c r="D99" s="34" t="n"/>
      <c r="E99" s="35" t="n"/>
      <c r="F99" s="35" t="n"/>
      <c r="G99" s="41" t="n"/>
      <c r="H99" s="34" t="n"/>
      <c r="I99" s="36" t="n"/>
      <c r="J99" s="37" t="n"/>
    </row>
    <row r="100" ht="15" customHeight="1" s="62">
      <c r="A100" s="54" t="n"/>
      <c r="B100" s="33" t="n"/>
      <c r="C100" s="34" t="n"/>
      <c r="D100" s="34" t="n"/>
      <c r="E100" s="35" t="n"/>
      <c r="F100" s="35" t="n"/>
      <c r="G100" s="41" t="n"/>
      <c r="H100" s="34" t="n"/>
      <c r="I100" s="36" t="n"/>
      <c r="J100" s="37" t="n"/>
    </row>
    <row r="101" ht="15" customHeight="1" s="62">
      <c r="A101" s="54" t="n"/>
      <c r="B101" s="33" t="n"/>
      <c r="C101" s="34" t="n"/>
      <c r="D101" s="34" t="n"/>
      <c r="E101" s="35" t="n"/>
      <c r="F101" s="35" t="n"/>
      <c r="G101" s="41" t="n"/>
      <c r="H101" s="34" t="n"/>
      <c r="I101" s="36" t="n"/>
      <c r="J101" s="37" t="n"/>
    </row>
    <row r="102" ht="15" customHeight="1" s="62">
      <c r="A102" s="54" t="n"/>
      <c r="B102" s="33" t="n"/>
      <c r="C102" s="34" t="n"/>
      <c r="D102" s="34" t="n"/>
      <c r="E102" s="35" t="n"/>
      <c r="F102" s="35" t="n"/>
      <c r="G102" s="41" t="n"/>
      <c r="H102" s="34" t="n"/>
      <c r="I102" s="36" t="n"/>
      <c r="J102" s="37" t="n"/>
    </row>
    <row r="103" ht="15" customHeight="1" s="62">
      <c r="A103" s="54" t="n"/>
      <c r="B103" s="33" t="n"/>
      <c r="C103" s="34" t="n"/>
      <c r="D103" s="34" t="n"/>
      <c r="E103" s="35" t="n"/>
      <c r="F103" s="35" t="n"/>
      <c r="G103" s="41" t="n"/>
      <c r="H103" s="34" t="n"/>
      <c r="I103" s="36" t="n"/>
      <c r="J103" s="37" t="n"/>
    </row>
    <row r="104" ht="15" customHeight="1" s="62">
      <c r="A104" s="54" t="n"/>
      <c r="B104" s="33" t="n"/>
      <c r="C104" s="34" t="n"/>
      <c r="D104" s="34" t="n"/>
      <c r="E104" s="35" t="n"/>
      <c r="F104" s="35" t="n"/>
      <c r="G104" s="41" t="n"/>
      <c r="H104" s="34" t="n"/>
      <c r="I104" s="36" t="n"/>
      <c r="J104" s="37" t="n"/>
    </row>
    <row r="105" ht="15" customHeight="1" s="62">
      <c r="A105" s="54" t="n"/>
      <c r="B105" s="33" t="n"/>
      <c r="C105" s="34" t="n"/>
      <c r="D105" s="34" t="n"/>
      <c r="E105" s="35" t="n"/>
      <c r="F105" s="35" t="n"/>
      <c r="G105" s="41" t="n"/>
      <c r="H105" s="34" t="n"/>
      <c r="I105" s="36" t="n"/>
      <c r="J105" s="37" t="n"/>
    </row>
    <row r="106" ht="15" customHeight="1" s="62">
      <c r="A106" s="54" t="n"/>
      <c r="B106" s="33" t="n"/>
      <c r="C106" s="34" t="n"/>
      <c r="D106" s="34" t="n"/>
      <c r="E106" s="35" t="n"/>
      <c r="F106" s="35" t="n"/>
      <c r="G106" s="41" t="n"/>
      <c r="H106" s="34" t="n"/>
      <c r="I106" s="36" t="n"/>
      <c r="J106" s="37" t="n"/>
    </row>
    <row r="107" ht="15" customHeight="1" s="62">
      <c r="A107" s="54" t="n"/>
      <c r="B107" s="33" t="n"/>
      <c r="C107" s="34" t="n"/>
      <c r="D107" s="34" t="n"/>
      <c r="E107" s="35" t="n"/>
      <c r="F107" s="35" t="n"/>
      <c r="G107" s="41" t="n"/>
      <c r="H107" s="34" t="n"/>
      <c r="I107" s="36" t="n"/>
      <c r="J107" s="37" t="n"/>
    </row>
    <row r="108" ht="15" customHeight="1" s="62">
      <c r="A108" s="54" t="n"/>
      <c r="B108" s="33" t="n"/>
      <c r="C108" s="34" t="n"/>
      <c r="D108" s="34" t="n"/>
      <c r="E108" s="35" t="n"/>
      <c r="F108" s="35" t="n"/>
      <c r="G108" s="41" t="n"/>
      <c r="H108" s="34" t="n"/>
      <c r="I108" s="36" t="n"/>
      <c r="J108" s="37" t="n"/>
    </row>
    <row r="109" ht="15" customHeight="1" s="62">
      <c r="A109" s="54" t="n"/>
      <c r="B109" s="33" t="n"/>
      <c r="C109" s="34" t="n"/>
      <c r="D109" s="34" t="n"/>
      <c r="E109" s="35" t="n"/>
      <c r="F109" s="35" t="n"/>
      <c r="G109" s="41" t="n"/>
      <c r="H109" s="34" t="n"/>
      <c r="I109" s="36" t="n"/>
      <c r="J109" s="37" t="n"/>
    </row>
    <row r="110" ht="15" customHeight="1" s="62">
      <c r="A110" s="54" t="n"/>
      <c r="B110" s="33" t="n"/>
      <c r="C110" s="34" t="n"/>
      <c r="D110" s="34" t="n"/>
      <c r="E110" s="35" t="n"/>
      <c r="F110" s="35" t="n"/>
      <c r="G110" s="41" t="n"/>
      <c r="H110" s="34" t="n"/>
      <c r="I110" s="36" t="n"/>
      <c r="J110" s="37" t="n"/>
    </row>
    <row r="111" ht="15" customHeight="1" s="62">
      <c r="A111" s="54" t="n"/>
      <c r="B111" s="33" t="n"/>
      <c r="C111" s="34" t="n"/>
      <c r="D111" s="34" t="n"/>
      <c r="E111" s="35" t="n"/>
      <c r="F111" s="35" t="n"/>
      <c r="G111" s="41" t="n"/>
      <c r="H111" s="34" t="n"/>
      <c r="I111" s="36" t="n"/>
      <c r="J111" s="37" t="n"/>
    </row>
    <row r="112" ht="15" customHeight="1" s="62">
      <c r="A112" s="54" t="n"/>
      <c r="B112" s="33" t="n"/>
      <c r="C112" s="34" t="n"/>
      <c r="D112" s="34" t="n"/>
      <c r="E112" s="35" t="n"/>
      <c r="F112" s="35" t="n"/>
      <c r="G112" s="41" t="n"/>
      <c r="H112" s="34" t="n"/>
      <c r="I112" s="36" t="n"/>
      <c r="J112" s="37" t="n"/>
    </row>
    <row r="113" ht="15" customHeight="1" s="62">
      <c r="A113" s="54" t="n"/>
      <c r="B113" s="33" t="n"/>
      <c r="C113" s="34" t="n"/>
      <c r="D113" s="34" t="n"/>
      <c r="E113" s="35" t="n"/>
      <c r="F113" s="35" t="n"/>
      <c r="G113" s="41" t="n"/>
      <c r="H113" s="34" t="n"/>
      <c r="I113" s="36" t="n"/>
      <c r="J113" s="37" t="n"/>
    </row>
    <row r="114" ht="15" customHeight="1" s="62">
      <c r="A114" s="54" t="n"/>
      <c r="B114" s="33" t="n"/>
      <c r="C114" s="34" t="n"/>
      <c r="D114" s="34" t="n"/>
      <c r="E114" s="35" t="n"/>
      <c r="F114" s="35" t="n"/>
      <c r="G114" s="41" t="n"/>
      <c r="H114" s="34" t="n"/>
      <c r="I114" s="36" t="n"/>
      <c r="J114" s="37" t="n"/>
    </row>
    <row r="115" ht="15" customHeight="1" s="62">
      <c r="A115" s="54" t="n"/>
      <c r="B115" s="33" t="n"/>
      <c r="C115" s="34" t="n"/>
      <c r="D115" s="34" t="n"/>
      <c r="E115" s="35" t="n"/>
      <c r="F115" s="35" t="n"/>
      <c r="G115" s="41" t="n"/>
      <c r="H115" s="34" t="n"/>
      <c r="I115" s="36" t="n"/>
      <c r="J115" s="37" t="n"/>
    </row>
    <row r="116" ht="15" customHeight="1" s="62">
      <c r="A116" s="54" t="n"/>
      <c r="B116" s="33" t="n"/>
      <c r="C116" s="34" t="n"/>
      <c r="D116" s="34" t="n"/>
      <c r="E116" s="35" t="n"/>
      <c r="F116" s="35" t="n"/>
      <c r="G116" s="41" t="n"/>
      <c r="H116" s="34" t="n"/>
      <c r="I116" s="36" t="n"/>
      <c r="J116" s="37" t="n"/>
    </row>
    <row r="117" ht="15" customHeight="1" s="62">
      <c r="A117" s="54" t="n"/>
      <c r="B117" s="33" t="n"/>
      <c r="C117" s="34" t="n"/>
      <c r="D117" s="34" t="n"/>
      <c r="E117" s="35" t="n"/>
      <c r="F117" s="35" t="n"/>
      <c r="G117" s="41" t="n"/>
      <c r="H117" s="34" t="n"/>
      <c r="I117" s="36" t="n"/>
      <c r="J117" s="37" t="n"/>
    </row>
    <row r="118" ht="15" customHeight="1" s="62">
      <c r="A118" s="54" t="n"/>
      <c r="B118" s="33" t="n"/>
      <c r="C118" s="34" t="n"/>
      <c r="D118" s="34" t="n"/>
      <c r="E118" s="35" t="n"/>
      <c r="F118" s="35" t="n"/>
      <c r="G118" s="41" t="n"/>
      <c r="H118" s="34" t="n"/>
      <c r="I118" s="36" t="n"/>
      <c r="J118" s="37" t="n"/>
    </row>
    <row r="119" ht="15" customHeight="1" s="62">
      <c r="A119" s="54" t="n"/>
      <c r="B119" s="33" t="n"/>
      <c r="C119" s="34" t="n"/>
      <c r="D119" s="34" t="n"/>
      <c r="E119" s="35" t="n"/>
      <c r="F119" s="35" t="n"/>
      <c r="G119" s="41" t="n"/>
      <c r="H119" s="34" t="n"/>
      <c r="I119" s="36" t="n"/>
      <c r="J119" s="37" t="n"/>
    </row>
    <row r="120" ht="15" customHeight="1" s="62">
      <c r="A120" s="54" t="n"/>
      <c r="B120" s="33" t="n"/>
      <c r="C120" s="34" t="n"/>
      <c r="D120" s="34" t="n"/>
      <c r="E120" s="35" t="n"/>
      <c r="F120" s="35" t="n"/>
      <c r="G120" s="41" t="n"/>
      <c r="H120" s="34" t="n"/>
      <c r="I120" s="36" t="n"/>
      <c r="J120" s="37" t="n"/>
    </row>
    <row r="121" ht="15" customHeight="1" s="62">
      <c r="A121" s="54" t="n"/>
      <c r="B121" s="33" t="n"/>
      <c r="C121" s="34" t="n"/>
      <c r="D121" s="34" t="n"/>
      <c r="E121" s="35" t="n"/>
      <c r="F121" s="35" t="n"/>
      <c r="G121" s="41" t="n"/>
      <c r="H121" s="34" t="n"/>
      <c r="I121" s="36" t="n"/>
      <c r="J121" s="37" t="n"/>
    </row>
    <row r="122" ht="15" customHeight="1" s="62">
      <c r="A122" s="54" t="n"/>
      <c r="B122" s="33" t="n"/>
      <c r="C122" s="34" t="n"/>
      <c r="D122" s="34" t="n"/>
      <c r="E122" s="35" t="n"/>
      <c r="F122" s="35" t="n"/>
      <c r="G122" s="41" t="n"/>
      <c r="H122" s="34" t="n"/>
      <c r="I122" s="36" t="n"/>
      <c r="J122" s="37" t="n"/>
    </row>
    <row r="123" ht="15" customHeight="1" s="62">
      <c r="A123" s="54" t="n"/>
      <c r="B123" s="33" t="n"/>
      <c r="C123" s="34" t="n"/>
      <c r="D123" s="34" t="n"/>
      <c r="E123" s="35" t="n"/>
      <c r="F123" s="35" t="n"/>
      <c r="G123" s="41" t="n"/>
      <c r="H123" s="34" t="n"/>
      <c r="I123" s="36" t="n"/>
      <c r="J123" s="37" t="n"/>
    </row>
    <row r="124" ht="15" customHeight="1" s="62">
      <c r="A124" s="54" t="n"/>
      <c r="B124" s="33" t="n"/>
      <c r="C124" s="34" t="n"/>
      <c r="D124" s="34" t="n"/>
      <c r="E124" s="35" t="n"/>
      <c r="F124" s="35" t="n"/>
      <c r="G124" s="41" t="n"/>
      <c r="H124" s="34" t="n"/>
      <c r="I124" s="36" t="n"/>
      <c r="J124" s="37" t="n"/>
    </row>
    <row r="125" ht="15" customHeight="1" s="62">
      <c r="A125" s="54" t="n"/>
      <c r="B125" s="33" t="n"/>
      <c r="C125" s="34" t="n"/>
      <c r="D125" s="34" t="n"/>
      <c r="E125" s="35" t="n"/>
      <c r="F125" s="35" t="n"/>
      <c r="G125" s="41" t="n"/>
      <c r="H125" s="34" t="n"/>
      <c r="I125" s="36" t="n"/>
      <c r="J125" s="37" t="n"/>
    </row>
    <row r="126" ht="15" customHeight="1" s="62">
      <c r="A126" s="54" t="n"/>
      <c r="B126" s="33" t="n"/>
      <c r="C126" s="34" t="n"/>
      <c r="D126" s="34" t="n"/>
      <c r="E126" s="35" t="n"/>
      <c r="F126" s="35" t="n"/>
      <c r="G126" s="41" t="n"/>
      <c r="H126" s="34" t="n"/>
      <c r="I126" s="36" t="n"/>
      <c r="J126" s="37" t="n"/>
    </row>
    <row r="127" ht="15" customHeight="1" s="62">
      <c r="A127" s="54" t="n"/>
      <c r="B127" s="33" t="n"/>
      <c r="C127" s="34" t="n"/>
      <c r="D127" s="34" t="n"/>
      <c r="E127" s="35" t="n"/>
      <c r="F127" s="35" t="n"/>
      <c r="G127" s="41" t="n"/>
      <c r="H127" s="34" t="n"/>
      <c r="I127" s="36" t="n"/>
      <c r="J127" s="37" t="n"/>
    </row>
    <row r="128" ht="15" customHeight="1" s="62">
      <c r="A128" s="54" t="n"/>
      <c r="B128" s="33" t="n"/>
      <c r="C128" s="34" t="n"/>
      <c r="D128" s="34" t="n"/>
      <c r="E128" s="35" t="n"/>
      <c r="F128" s="35" t="n"/>
      <c r="G128" s="41" t="n"/>
      <c r="H128" s="34" t="n"/>
      <c r="I128" s="36" t="n"/>
      <c r="J128" s="37" t="n"/>
    </row>
    <row r="129" ht="15" customHeight="1" s="62">
      <c r="A129" s="54" t="n"/>
      <c r="B129" s="33" t="n"/>
      <c r="C129" s="34" t="n"/>
      <c r="D129" s="34" t="n"/>
      <c r="E129" s="35" t="n"/>
      <c r="F129" s="35" t="n"/>
      <c r="G129" s="41" t="n"/>
      <c r="H129" s="34" t="n"/>
      <c r="I129" s="36" t="n"/>
      <c r="J129" s="37" t="n"/>
    </row>
    <row r="130" ht="15" customHeight="1" s="62">
      <c r="A130" s="54" t="n"/>
      <c r="B130" s="33" t="n"/>
      <c r="C130" s="34" t="n"/>
      <c r="D130" s="34" t="n"/>
      <c r="E130" s="35" t="n"/>
      <c r="F130" s="35" t="n"/>
      <c r="G130" s="41" t="n"/>
      <c r="H130" s="34" t="n"/>
      <c r="I130" s="36" t="n"/>
      <c r="J130" s="37" t="n"/>
    </row>
    <row r="131" ht="15" customHeight="1" s="62">
      <c r="A131" s="54" t="n"/>
      <c r="B131" s="33" t="n"/>
      <c r="C131" s="34" t="n"/>
      <c r="D131" s="34" t="n"/>
      <c r="E131" s="35" t="n"/>
      <c r="F131" s="35" t="n"/>
      <c r="G131" s="41" t="n"/>
      <c r="H131" s="34" t="n"/>
      <c r="I131" s="36" t="n"/>
      <c r="J131" s="37" t="n"/>
    </row>
    <row r="132" ht="15" customHeight="1" s="62">
      <c r="A132" s="54" t="n"/>
      <c r="B132" s="33" t="n"/>
      <c r="C132" s="34" t="n"/>
      <c r="D132" s="34" t="n"/>
      <c r="E132" s="35" t="n"/>
      <c r="F132" s="35" t="n"/>
      <c r="G132" s="41" t="n"/>
      <c r="H132" s="34" t="n"/>
      <c r="I132" s="36" t="n"/>
      <c r="J132" s="37" t="n"/>
    </row>
    <row r="133" ht="15" customHeight="1" s="62">
      <c r="A133" s="54" t="n"/>
      <c r="B133" s="33" t="n"/>
      <c r="C133" s="34" t="n"/>
      <c r="D133" s="34" t="n"/>
      <c r="E133" s="35" t="n"/>
      <c r="F133" s="35" t="n"/>
      <c r="G133" s="41" t="n"/>
      <c r="H133" s="34" t="n"/>
      <c r="I133" s="36" t="n"/>
      <c r="J133" s="37" t="n"/>
    </row>
    <row r="134" ht="15" customHeight="1" s="62">
      <c r="A134" s="54" t="n"/>
      <c r="B134" s="33" t="n"/>
      <c r="C134" s="34" t="n"/>
      <c r="D134" s="34" t="n"/>
      <c r="E134" s="35" t="n"/>
      <c r="F134" s="35" t="n"/>
      <c r="G134" s="41" t="n"/>
      <c r="H134" s="34" t="n"/>
      <c r="I134" s="36" t="n"/>
      <c r="J134" s="37" t="n"/>
    </row>
    <row r="135" ht="15" customHeight="1" s="62">
      <c r="A135" s="54" t="n"/>
      <c r="B135" s="33" t="n"/>
      <c r="C135" s="34" t="n"/>
      <c r="D135" s="34" t="n"/>
      <c r="E135" s="35" t="n"/>
      <c r="F135" s="35" t="n"/>
      <c r="G135" s="41" t="n"/>
      <c r="H135" s="34" t="n"/>
      <c r="I135" s="36" t="n"/>
      <c r="J135" s="37" t="n"/>
    </row>
    <row r="136" ht="15" customHeight="1" s="62">
      <c r="A136" s="54" t="n"/>
      <c r="B136" s="33" t="n"/>
      <c r="C136" s="34" t="n"/>
      <c r="D136" s="34" t="n"/>
      <c r="E136" s="35" t="n"/>
      <c r="F136" s="35" t="n"/>
      <c r="G136" s="41" t="n"/>
      <c r="H136" s="34" t="n"/>
      <c r="I136" s="36" t="n"/>
      <c r="J136" s="37" t="n"/>
    </row>
    <row r="137" ht="15" customHeight="1" s="62">
      <c r="A137" s="54" t="n"/>
      <c r="B137" s="33" t="n"/>
      <c r="C137" s="34" t="n"/>
      <c r="D137" s="34" t="n"/>
      <c r="E137" s="35" t="n"/>
      <c r="F137" s="35" t="n"/>
      <c r="G137" s="41" t="n"/>
      <c r="H137" s="34" t="n"/>
      <c r="I137" s="36" t="n"/>
      <c r="J137" s="37" t="n"/>
    </row>
    <row r="138" ht="15" customHeight="1" s="62">
      <c r="A138" s="54" t="n"/>
      <c r="B138" s="33" t="n"/>
      <c r="C138" s="34" t="n"/>
      <c r="D138" s="34" t="n"/>
      <c r="E138" s="35" t="n"/>
      <c r="F138" s="35" t="n"/>
      <c r="G138" s="41" t="n"/>
      <c r="H138" s="34" t="n"/>
      <c r="I138" s="36" t="n"/>
      <c r="J138" s="37" t="n"/>
    </row>
    <row r="139" ht="15" customHeight="1" s="62">
      <c r="A139" s="54" t="n"/>
      <c r="B139" s="33" t="n"/>
      <c r="C139" s="34" t="n"/>
      <c r="D139" s="34" t="n"/>
      <c r="E139" s="35" t="n"/>
      <c r="F139" s="35" t="n"/>
      <c r="G139" s="41" t="n"/>
      <c r="H139" s="34" t="n"/>
      <c r="I139" s="36" t="n"/>
      <c r="J139" s="37" t="n"/>
    </row>
    <row r="140" ht="15" customHeight="1" s="62">
      <c r="A140" s="54" t="n"/>
      <c r="B140" s="33" t="n"/>
      <c r="C140" s="34" t="n"/>
      <c r="D140" s="34" t="n"/>
      <c r="E140" s="35" t="n"/>
      <c r="F140" s="35" t="n"/>
      <c r="G140" s="41" t="n"/>
      <c r="H140" s="34" t="n"/>
      <c r="I140" s="36" t="n"/>
      <c r="J140" s="37" t="n"/>
    </row>
    <row r="141" ht="15" customHeight="1" s="62">
      <c r="A141" s="54" t="n"/>
      <c r="B141" s="33" t="n"/>
      <c r="C141" s="34" t="n"/>
      <c r="D141" s="34" t="n"/>
      <c r="E141" s="35" t="n"/>
      <c r="F141" s="35" t="n"/>
      <c r="G141" s="41" t="n"/>
      <c r="H141" s="34" t="n"/>
      <c r="I141" s="36" t="n"/>
      <c r="J141" s="37" t="n"/>
    </row>
    <row r="142" ht="15" customHeight="1" s="62">
      <c r="A142" s="54" t="n"/>
      <c r="B142" s="33" t="n"/>
      <c r="C142" s="34" t="n"/>
      <c r="D142" s="34" t="n"/>
      <c r="E142" s="35" t="n"/>
      <c r="F142" s="35" t="n"/>
      <c r="G142" s="41" t="n"/>
      <c r="H142" s="34" t="n"/>
      <c r="I142" s="36" t="n"/>
      <c r="J142" s="37" t="n"/>
    </row>
    <row r="143" ht="15" customHeight="1" s="62">
      <c r="A143" s="54" t="n"/>
      <c r="B143" s="33" t="n"/>
      <c r="C143" s="34" t="n"/>
      <c r="D143" s="34" t="n"/>
      <c r="E143" s="35" t="n"/>
      <c r="F143" s="35" t="n"/>
      <c r="G143" s="41" t="n"/>
      <c r="H143" s="34" t="n"/>
      <c r="I143" s="36" t="n"/>
      <c r="J143" s="37" t="n"/>
    </row>
    <row r="144" ht="15" customHeight="1" s="62">
      <c r="A144" s="54" t="n"/>
      <c r="B144" s="33" t="n"/>
      <c r="C144" s="34" t="n"/>
      <c r="D144" s="34" t="n"/>
      <c r="E144" s="35" t="n"/>
      <c r="F144" s="35" t="n"/>
      <c r="G144" s="41" t="n"/>
      <c r="H144" s="34" t="n"/>
      <c r="I144" s="36" t="n"/>
      <c r="J144" s="37" t="n"/>
    </row>
    <row r="145" ht="15" customHeight="1" s="62">
      <c r="A145" s="54" t="n"/>
      <c r="B145" s="33" t="n"/>
      <c r="C145" s="34" t="n"/>
      <c r="D145" s="34" t="n"/>
      <c r="E145" s="35" t="n"/>
      <c r="F145" s="35" t="n"/>
      <c r="G145" s="41" t="n"/>
      <c r="H145" s="34" t="n"/>
      <c r="I145" s="36" t="n"/>
      <c r="J145" s="37" t="n"/>
    </row>
    <row r="146" ht="15" customHeight="1" s="62">
      <c r="A146" s="54" t="n"/>
      <c r="B146" s="33" t="n"/>
      <c r="C146" s="34" t="n"/>
      <c r="D146" s="34" t="n"/>
      <c r="E146" s="35" t="n"/>
      <c r="F146" s="35" t="n"/>
      <c r="G146" s="41" t="n"/>
      <c r="H146" s="34" t="n"/>
      <c r="I146" s="36" t="n"/>
      <c r="J146" s="37" t="n"/>
    </row>
    <row r="147" ht="15" customHeight="1" s="62">
      <c r="A147" s="54" t="n"/>
      <c r="B147" s="33" t="n"/>
      <c r="C147" s="34" t="n"/>
      <c r="D147" s="34" t="n"/>
      <c r="E147" s="35" t="n"/>
      <c r="F147" s="35" t="n"/>
      <c r="G147" s="41" t="n"/>
      <c r="H147" s="34" t="n"/>
      <c r="I147" s="36" t="n"/>
      <c r="J147" s="37" t="n"/>
    </row>
    <row r="148" ht="15" customHeight="1" s="62">
      <c r="A148" s="54" t="n"/>
      <c r="B148" s="33" t="n"/>
      <c r="C148" s="34" t="n"/>
      <c r="D148" s="34" t="n"/>
      <c r="E148" s="35" t="n"/>
      <c r="F148" s="35" t="n"/>
      <c r="G148" s="41" t="n"/>
      <c r="H148" s="34" t="n"/>
      <c r="I148" s="36" t="n"/>
      <c r="J148" s="37" t="n"/>
    </row>
    <row r="149" ht="15" customHeight="1" s="62">
      <c r="A149" s="54" t="n"/>
      <c r="B149" s="33" t="n"/>
      <c r="C149" s="34" t="n"/>
      <c r="D149" s="34" t="n"/>
      <c r="E149" s="35" t="n"/>
      <c r="F149" s="35" t="n"/>
      <c r="G149" s="41" t="n"/>
      <c r="H149" s="34" t="n"/>
      <c r="I149" s="36" t="n"/>
      <c r="J149" s="37" t="n"/>
    </row>
    <row r="150" ht="15" customHeight="1" s="62">
      <c r="A150" s="54" t="n"/>
      <c r="B150" s="33" t="n"/>
      <c r="C150" s="34" t="n"/>
      <c r="D150" s="34" t="n"/>
      <c r="E150" s="35" t="n"/>
      <c r="F150" s="35" t="n"/>
      <c r="G150" s="41" t="n"/>
      <c r="H150" s="34" t="n"/>
      <c r="I150" s="36" t="n"/>
      <c r="J150" s="37" t="n"/>
    </row>
    <row r="151" ht="15" customHeight="1" s="62">
      <c r="A151" s="54" t="n"/>
      <c r="B151" s="33" t="n"/>
      <c r="C151" s="34" t="n"/>
      <c r="D151" s="34" t="n"/>
      <c r="E151" s="35" t="n"/>
      <c r="F151" s="35" t="n"/>
      <c r="G151" s="41" t="n"/>
      <c r="H151" s="34" t="n"/>
      <c r="I151" s="36" t="n"/>
      <c r="J151" s="37" t="n"/>
    </row>
    <row r="152" ht="15" customHeight="1" s="62">
      <c r="A152" s="54" t="n"/>
      <c r="B152" s="33" t="n"/>
      <c r="C152" s="34" t="n"/>
      <c r="D152" s="34" t="n"/>
      <c r="E152" s="35" t="n"/>
      <c r="F152" s="35" t="n"/>
      <c r="G152" s="41" t="n"/>
      <c r="H152" s="34" t="n"/>
      <c r="I152" s="36" t="n"/>
      <c r="J152" s="37" t="n"/>
    </row>
    <row r="153" ht="15" customHeight="1" s="62">
      <c r="A153" s="54" t="n"/>
      <c r="B153" s="33" t="n"/>
      <c r="C153" s="34" t="n"/>
      <c r="D153" s="34" t="n"/>
      <c r="E153" s="35" t="n"/>
      <c r="F153" s="35" t="n"/>
      <c r="G153" s="41" t="n"/>
      <c r="H153" s="34" t="n"/>
      <c r="I153" s="36" t="n"/>
      <c r="J153" s="37" t="n"/>
    </row>
    <row r="154" ht="15" customHeight="1" s="62">
      <c r="A154" s="54" t="n"/>
      <c r="B154" s="33" t="n"/>
      <c r="C154" s="34" t="n"/>
      <c r="D154" s="34" t="n"/>
      <c r="E154" s="35" t="n"/>
      <c r="F154" s="35" t="n"/>
      <c r="G154" s="41" t="n"/>
      <c r="H154" s="34" t="n"/>
      <c r="I154" s="36" t="n"/>
      <c r="J154" s="37" t="n"/>
    </row>
    <row r="155" ht="15" customHeight="1" s="62">
      <c r="A155" s="54" t="n"/>
      <c r="B155" s="33" t="n"/>
      <c r="C155" s="34" t="n"/>
      <c r="D155" s="34" t="n"/>
      <c r="E155" s="35" t="n"/>
      <c r="F155" s="35" t="n"/>
      <c r="G155" s="41" t="n"/>
      <c r="H155" s="34" t="n"/>
      <c r="I155" s="36" t="n"/>
      <c r="J155" s="37" t="n"/>
    </row>
    <row r="156" ht="15" customHeight="1" s="62">
      <c r="A156" s="54" t="n"/>
      <c r="B156" s="33" t="n"/>
      <c r="C156" s="34" t="n"/>
      <c r="D156" s="34" t="n"/>
      <c r="E156" s="35" t="n"/>
      <c r="F156" s="35" t="n"/>
      <c r="G156" s="41" t="n"/>
      <c r="H156" s="34" t="n"/>
      <c r="I156" s="36" t="n"/>
      <c r="J156" s="37" t="n"/>
    </row>
    <row r="157" ht="15" customHeight="1" s="62">
      <c r="A157" s="54" t="n"/>
      <c r="B157" s="33" t="n"/>
      <c r="C157" s="34" t="n"/>
      <c r="D157" s="34" t="n"/>
      <c r="E157" s="35" t="n"/>
      <c r="F157" s="35" t="n"/>
      <c r="G157" s="41" t="n"/>
      <c r="H157" s="34" t="n"/>
      <c r="I157" s="36" t="n"/>
      <c r="J157" s="37" t="n"/>
    </row>
    <row r="158" ht="15" customHeight="1" s="62">
      <c r="A158" s="54" t="n"/>
      <c r="B158" s="33" t="n"/>
      <c r="C158" s="34" t="n"/>
      <c r="D158" s="34" t="n"/>
      <c r="E158" s="35" t="n"/>
      <c r="F158" s="35" t="n"/>
      <c r="G158" s="41" t="n"/>
      <c r="H158" s="34" t="n"/>
      <c r="I158" s="36" t="n"/>
      <c r="J158" s="37" t="n"/>
    </row>
    <row r="159" ht="15" customHeight="1" s="62">
      <c r="A159" s="54" t="n"/>
      <c r="B159" s="33" t="n"/>
      <c r="C159" s="34" t="n"/>
      <c r="D159" s="34" t="n"/>
      <c r="E159" s="35" t="n"/>
      <c r="F159" s="35" t="n"/>
      <c r="G159" s="41" t="n"/>
      <c r="H159" s="34" t="n"/>
      <c r="I159" s="36" t="n"/>
      <c r="J159" s="37" t="n"/>
    </row>
    <row r="160" ht="15" customHeight="1" s="62">
      <c r="A160" s="54" t="n"/>
      <c r="B160" s="33" t="n"/>
      <c r="C160" s="34" t="n"/>
      <c r="D160" s="34" t="n"/>
      <c r="E160" s="35" t="n"/>
      <c r="F160" s="35" t="n"/>
      <c r="G160" s="41" t="n"/>
      <c r="H160" s="34" t="n"/>
      <c r="I160" s="36" t="n"/>
      <c r="J160" s="37" t="n"/>
    </row>
    <row r="161" ht="15" customHeight="1" s="62">
      <c r="A161" s="54" t="n"/>
      <c r="B161" s="33" t="n"/>
      <c r="C161" s="34" t="n"/>
      <c r="D161" s="34" t="n"/>
      <c r="E161" s="35" t="n"/>
      <c r="F161" s="35" t="n"/>
      <c r="G161" s="41" t="n"/>
      <c r="H161" s="34" t="n"/>
      <c r="I161" s="36" t="n"/>
      <c r="J161" s="37" t="n"/>
    </row>
    <row r="162" ht="15" customHeight="1" s="62">
      <c r="A162" s="54" t="n"/>
      <c r="B162" s="33" t="n"/>
      <c r="C162" s="34" t="n"/>
      <c r="D162" s="34" t="n"/>
      <c r="E162" s="35" t="n"/>
      <c r="F162" s="35" t="n"/>
      <c r="G162" s="41" t="n"/>
      <c r="H162" s="34" t="n"/>
      <c r="I162" s="36" t="n"/>
      <c r="J162" s="37" t="n"/>
    </row>
    <row r="163" ht="15" customHeight="1" s="62">
      <c r="A163" s="54" t="n"/>
      <c r="B163" s="33" t="n"/>
      <c r="C163" s="34" t="n"/>
      <c r="D163" s="34" t="n"/>
      <c r="E163" s="35" t="n"/>
      <c r="F163" s="35" t="n"/>
      <c r="G163" s="41" t="n"/>
      <c r="H163" s="34" t="n"/>
      <c r="I163" s="36" t="n"/>
      <c r="J163" s="37" t="n"/>
    </row>
    <row r="164" ht="15" customHeight="1" s="62">
      <c r="A164" s="54" t="n"/>
      <c r="B164" s="33" t="n"/>
      <c r="C164" s="34" t="n"/>
      <c r="D164" s="34" t="n"/>
      <c r="E164" s="35" t="n"/>
      <c r="F164" s="35" t="n"/>
      <c r="G164" s="41" t="n"/>
      <c r="H164" s="34" t="n"/>
      <c r="I164" s="36" t="n"/>
      <c r="J164" s="37" t="n"/>
    </row>
    <row r="165" ht="15" customHeight="1" s="62">
      <c r="A165" s="54" t="n"/>
      <c r="B165" s="33" t="n"/>
      <c r="C165" s="34" t="n"/>
      <c r="D165" s="34" t="n"/>
      <c r="E165" s="35" t="n"/>
      <c r="F165" s="35" t="n"/>
      <c r="G165" s="41" t="n"/>
      <c r="H165" s="34" t="n"/>
      <c r="I165" s="36" t="n"/>
      <c r="J165" s="37" t="n"/>
    </row>
    <row r="166" ht="15" customHeight="1" s="62">
      <c r="A166" s="54" t="n"/>
      <c r="B166" s="33" t="n"/>
      <c r="C166" s="34" t="n"/>
      <c r="D166" s="34" t="n"/>
      <c r="E166" s="35" t="n"/>
      <c r="F166" s="35" t="n"/>
      <c r="G166" s="41" t="n"/>
      <c r="H166" s="34" t="n"/>
      <c r="I166" s="36" t="n"/>
      <c r="J166" s="37" t="n"/>
    </row>
    <row r="167" ht="15" customHeight="1" s="62">
      <c r="A167" s="54" t="n"/>
      <c r="B167" s="33" t="n"/>
      <c r="C167" s="34" t="n"/>
      <c r="D167" s="34" t="n"/>
      <c r="E167" s="35" t="n"/>
      <c r="F167" s="35" t="n"/>
      <c r="G167" s="41" t="n"/>
      <c r="H167" s="34" t="n"/>
      <c r="I167" s="36" t="n"/>
      <c r="J167" s="37" t="n"/>
    </row>
    <row r="168" ht="15" customHeight="1" s="62">
      <c r="A168" s="54" t="n"/>
      <c r="B168" s="33" t="n"/>
      <c r="C168" s="34" t="n"/>
      <c r="D168" s="34" t="n"/>
      <c r="E168" s="35" t="n"/>
      <c r="F168" s="35" t="n"/>
      <c r="G168" s="41" t="n"/>
      <c r="H168" s="34" t="n"/>
      <c r="I168" s="36" t="n"/>
      <c r="J168" s="37" t="n"/>
    </row>
    <row r="169" ht="15" customHeight="1" s="62">
      <c r="A169" s="54" t="n"/>
      <c r="B169" s="33" t="n"/>
      <c r="C169" s="34" t="n"/>
      <c r="D169" s="34" t="n"/>
      <c r="E169" s="35" t="n"/>
      <c r="F169" s="35" t="n"/>
      <c r="G169" s="41" t="n"/>
      <c r="H169" s="34" t="n"/>
      <c r="I169" s="36" t="n"/>
      <c r="J169" s="37" t="n"/>
    </row>
    <row r="170" ht="15" customHeight="1" s="62">
      <c r="A170" s="54" t="n"/>
      <c r="B170" s="33" t="n"/>
      <c r="C170" s="34" t="n"/>
      <c r="D170" s="34" t="n"/>
      <c r="E170" s="35" t="n"/>
      <c r="F170" s="35" t="n"/>
      <c r="G170" s="41" t="n"/>
      <c r="H170" s="34" t="n"/>
      <c r="I170" s="36" t="n"/>
      <c r="J170" s="37" t="n"/>
    </row>
    <row r="171" ht="15" customHeight="1" s="62">
      <c r="A171" s="54" t="n"/>
      <c r="B171" s="33" t="n"/>
      <c r="C171" s="34" t="n"/>
      <c r="D171" s="34" t="n"/>
      <c r="E171" s="35" t="n"/>
      <c r="F171" s="35" t="n"/>
      <c r="G171" s="41" t="n"/>
      <c r="H171" s="34" t="n"/>
      <c r="I171" s="36" t="n"/>
      <c r="J171" s="37" t="n"/>
    </row>
    <row r="172" ht="15" customHeight="1" s="62">
      <c r="A172" s="54" t="n"/>
      <c r="B172" s="33" t="n"/>
      <c r="C172" s="34" t="n"/>
      <c r="D172" s="34" t="n"/>
      <c r="E172" s="35" t="n"/>
      <c r="F172" s="35" t="n"/>
      <c r="G172" s="41" t="n"/>
      <c r="H172" s="34" t="n"/>
      <c r="I172" s="36" t="n"/>
      <c r="J172" s="37" t="n"/>
    </row>
    <row r="173" ht="15" customHeight="1" s="62">
      <c r="A173" s="54" t="n"/>
      <c r="B173" s="33" t="n"/>
      <c r="C173" s="34" t="n"/>
      <c r="D173" s="34" t="n"/>
      <c r="E173" s="35" t="n"/>
      <c r="F173" s="35" t="n"/>
      <c r="G173" s="41" t="n"/>
      <c r="H173" s="34" t="n"/>
      <c r="I173" s="36" t="n"/>
      <c r="J173" s="37" t="n"/>
    </row>
    <row r="174" ht="15" customHeight="1" s="62">
      <c r="A174" s="54" t="n"/>
      <c r="B174" s="33" t="n"/>
      <c r="C174" s="34" t="n"/>
      <c r="D174" s="34" t="n"/>
      <c r="E174" s="35" t="n"/>
      <c r="F174" s="35" t="n"/>
      <c r="G174" s="41" t="n"/>
      <c r="H174" s="34" t="n"/>
      <c r="I174" s="36" t="n"/>
      <c r="J174" s="37" t="n"/>
    </row>
    <row r="175" ht="15" customHeight="1" s="62">
      <c r="A175" s="54" t="n"/>
      <c r="B175" s="33" t="n"/>
      <c r="C175" s="34" t="n"/>
      <c r="D175" s="34" t="n"/>
      <c r="E175" s="35" t="n"/>
      <c r="F175" s="35" t="n"/>
      <c r="G175" s="41" t="n"/>
      <c r="H175" s="34" t="n"/>
      <c r="I175" s="36" t="n"/>
      <c r="J175" s="37" t="n"/>
    </row>
    <row r="176" ht="15" customHeight="1" s="62">
      <c r="A176" s="54" t="n"/>
      <c r="B176" s="33" t="n"/>
      <c r="C176" s="34" t="n"/>
      <c r="D176" s="34" t="n"/>
      <c r="E176" s="35" t="n"/>
      <c r="F176" s="35" t="n"/>
      <c r="G176" s="41" t="n"/>
      <c r="H176" s="34" t="n"/>
      <c r="I176" s="36" t="n"/>
      <c r="J176" s="37" t="n"/>
    </row>
    <row r="177" ht="15" customHeight="1" s="62">
      <c r="A177" s="54" t="n"/>
      <c r="B177" s="33" t="n"/>
      <c r="C177" s="34" t="n"/>
      <c r="D177" s="34" t="n"/>
      <c r="E177" s="35" t="n"/>
      <c r="F177" s="35" t="n"/>
      <c r="G177" s="41" t="n"/>
      <c r="H177" s="34" t="n"/>
      <c r="I177" s="36" t="n"/>
      <c r="J177" s="37" t="n"/>
    </row>
    <row r="178" ht="15" customHeight="1" s="62">
      <c r="A178" s="54" t="n"/>
      <c r="B178" s="33" t="n"/>
      <c r="C178" s="34" t="n"/>
      <c r="D178" s="34" t="n"/>
      <c r="E178" s="35" t="n"/>
      <c r="F178" s="35" t="n"/>
      <c r="G178" s="41" t="n"/>
      <c r="H178" s="34" t="n"/>
      <c r="I178" s="36" t="n"/>
      <c r="J178" s="37" t="n"/>
    </row>
    <row r="179" ht="15" customHeight="1" s="62">
      <c r="A179" s="54" t="n"/>
      <c r="B179" s="33" t="n"/>
      <c r="C179" s="34" t="n"/>
      <c r="D179" s="34" t="n"/>
      <c r="E179" s="35" t="n"/>
      <c r="F179" s="35" t="n"/>
      <c r="G179" s="41" t="n"/>
      <c r="H179" s="34" t="n"/>
      <c r="I179" s="36" t="n"/>
      <c r="J179" s="37" t="n"/>
    </row>
    <row r="180" ht="15" customHeight="1" s="62">
      <c r="A180" s="54" t="n"/>
      <c r="B180" s="33" t="n"/>
      <c r="C180" s="34" t="n"/>
      <c r="D180" s="34" t="n"/>
      <c r="E180" s="35" t="n"/>
      <c r="F180" s="35" t="n"/>
      <c r="G180" s="41" t="n"/>
      <c r="H180" s="34" t="n"/>
      <c r="I180" s="36" t="n"/>
      <c r="J180" s="37" t="n"/>
    </row>
    <row r="181" ht="15" customHeight="1" s="62">
      <c r="A181" s="54" t="n"/>
      <c r="B181" s="33" t="n"/>
      <c r="C181" s="34" t="n"/>
      <c r="D181" s="34" t="n"/>
      <c r="E181" s="35" t="n"/>
      <c r="F181" s="35" t="n"/>
      <c r="G181" s="41" t="n"/>
      <c r="H181" s="34" t="n"/>
      <c r="I181" s="36" t="n"/>
      <c r="J181" s="37" t="n"/>
    </row>
    <row r="182" ht="15" customHeight="1" s="62">
      <c r="A182" s="54" t="n"/>
      <c r="B182" s="33" t="n"/>
      <c r="C182" s="34" t="n"/>
      <c r="D182" s="34" t="n"/>
      <c r="E182" s="35" t="n"/>
      <c r="F182" s="35" t="n"/>
      <c r="G182" s="41" t="n"/>
      <c r="H182" s="34" t="n"/>
      <c r="I182" s="36" t="n"/>
      <c r="J182" s="37" t="n"/>
    </row>
    <row r="183" ht="15" customHeight="1" s="62">
      <c r="A183" s="54" t="n"/>
      <c r="B183" s="33" t="n"/>
      <c r="C183" s="34" t="n"/>
      <c r="D183" s="34" t="n"/>
      <c r="E183" s="35" t="n"/>
      <c r="F183" s="35" t="n"/>
      <c r="G183" s="41" t="n"/>
      <c r="H183" s="34" t="n"/>
      <c r="I183" s="36" t="n"/>
      <c r="J183" s="37" t="n"/>
    </row>
    <row r="184" ht="15" customHeight="1" s="62">
      <c r="A184" s="54" t="n"/>
      <c r="B184" s="33" t="n"/>
      <c r="C184" s="34" t="n"/>
      <c r="D184" s="34" t="n"/>
      <c r="E184" s="35" t="n"/>
      <c r="F184" s="35" t="n"/>
      <c r="G184" s="41" t="n"/>
      <c r="H184" s="34" t="n"/>
      <c r="I184" s="36" t="n"/>
      <c r="J184" s="37" t="n"/>
    </row>
    <row r="185" ht="15" customHeight="1" s="62">
      <c r="A185" s="54" t="n"/>
      <c r="B185" s="33" t="n"/>
      <c r="C185" s="34" t="n"/>
      <c r="D185" s="34" t="n"/>
      <c r="E185" s="35" t="n"/>
      <c r="F185" s="35" t="n"/>
      <c r="G185" s="41" t="n"/>
      <c r="H185" s="34" t="n"/>
      <c r="I185" s="36" t="n"/>
      <c r="J185" s="37" t="n"/>
    </row>
    <row r="186" ht="15" customHeight="1" s="62">
      <c r="A186" s="54" t="n"/>
      <c r="B186" s="33" t="n"/>
      <c r="C186" s="34" t="n"/>
      <c r="D186" s="34" t="n"/>
      <c r="E186" s="35" t="n"/>
      <c r="F186" s="35" t="n"/>
      <c r="G186" s="41" t="n"/>
      <c r="H186" s="34" t="n"/>
      <c r="I186" s="36" t="n"/>
      <c r="J186" s="37" t="n"/>
    </row>
    <row r="187" ht="15" customHeight="1" s="62">
      <c r="A187" s="54" t="n"/>
      <c r="B187" s="33" t="n"/>
      <c r="C187" s="34" t="n"/>
      <c r="D187" s="34" t="n"/>
      <c r="E187" s="35" t="n"/>
      <c r="F187" s="35" t="n"/>
      <c r="G187" s="41" t="n"/>
      <c r="H187" s="34" t="n"/>
      <c r="I187" s="36" t="n"/>
      <c r="J187" s="37" t="n"/>
    </row>
    <row r="188" ht="15" customHeight="1" s="62">
      <c r="A188" s="54" t="n"/>
      <c r="B188" s="33" t="n"/>
      <c r="C188" s="34" t="n"/>
      <c r="D188" s="34" t="n"/>
      <c r="E188" s="35" t="n"/>
      <c r="F188" s="35" t="n"/>
      <c r="G188" s="41" t="n"/>
      <c r="H188" s="34" t="n"/>
      <c r="I188" s="36" t="n"/>
      <c r="J188" s="37" t="n"/>
    </row>
    <row r="189" ht="15" customHeight="1" s="62">
      <c r="A189" s="54" t="n"/>
      <c r="B189" s="33" t="n"/>
      <c r="C189" s="34" t="n"/>
      <c r="D189" s="34" t="n"/>
      <c r="E189" s="35" t="n"/>
      <c r="F189" s="35" t="n"/>
      <c r="G189" s="41" t="n"/>
      <c r="H189" s="34" t="n"/>
      <c r="I189" s="36" t="n"/>
      <c r="J189" s="37" t="n"/>
    </row>
    <row r="190" ht="15" customHeight="1" s="62">
      <c r="A190" s="54" t="n"/>
      <c r="B190" s="33" t="n"/>
      <c r="C190" s="34" t="n"/>
      <c r="D190" s="34" t="n"/>
      <c r="E190" s="35" t="n"/>
      <c r="F190" s="35" t="n"/>
      <c r="G190" s="41" t="n"/>
      <c r="H190" s="34" t="n"/>
      <c r="I190" s="36" t="n"/>
      <c r="J190" s="37" t="n"/>
    </row>
    <row r="191" ht="15" customHeight="1" s="62">
      <c r="A191" s="54" t="n"/>
      <c r="B191" s="33" t="n"/>
      <c r="C191" s="34" t="n"/>
      <c r="D191" s="34" t="n"/>
      <c r="E191" s="35" t="n"/>
      <c r="F191" s="35" t="n"/>
      <c r="G191" s="41" t="n"/>
      <c r="H191" s="34" t="n"/>
      <c r="I191" s="36" t="n"/>
      <c r="J191" s="37" t="n"/>
    </row>
    <row r="192" ht="15" customHeight="1" s="62">
      <c r="A192" s="54" t="n"/>
      <c r="B192" s="33" t="n"/>
      <c r="C192" s="34" t="n"/>
      <c r="D192" s="34" t="n"/>
      <c r="E192" s="35" t="n"/>
      <c r="F192" s="35" t="n"/>
      <c r="G192" s="41" t="n"/>
      <c r="H192" s="34" t="n"/>
      <c r="I192" s="36" t="n"/>
      <c r="J192" s="37" t="n"/>
    </row>
    <row r="193" ht="15" customHeight="1" s="62">
      <c r="A193" s="54" t="n"/>
      <c r="B193" s="33" t="n"/>
      <c r="C193" s="34" t="n"/>
      <c r="D193" s="34" t="n"/>
      <c r="E193" s="35" t="n"/>
      <c r="F193" s="35" t="n"/>
      <c r="G193" s="41" t="n"/>
      <c r="H193" s="34" t="n"/>
      <c r="I193" s="36" t="n"/>
      <c r="J193" s="37" t="n"/>
    </row>
    <row r="194" ht="15" customHeight="1" s="62">
      <c r="A194" s="54" t="n"/>
      <c r="B194" s="33" t="n"/>
      <c r="C194" s="34" t="n"/>
      <c r="D194" s="34" t="n"/>
      <c r="E194" s="35" t="n"/>
      <c r="F194" s="35" t="n"/>
      <c r="G194" s="41" t="n"/>
      <c r="H194" s="34" t="n"/>
      <c r="I194" s="36" t="n"/>
      <c r="J194" s="37" t="n"/>
    </row>
    <row r="195" ht="15" customHeight="1" s="62">
      <c r="A195" s="54" t="n"/>
      <c r="B195" s="33" t="n"/>
      <c r="C195" s="34" t="n"/>
      <c r="D195" s="34" t="n"/>
      <c r="E195" s="35" t="n"/>
      <c r="F195" s="35" t="n"/>
      <c r="G195" s="41" t="n"/>
      <c r="H195" s="34" t="n"/>
      <c r="I195" s="36" t="n"/>
      <c r="J195" s="37" t="n"/>
    </row>
    <row r="196" ht="15" customHeight="1" s="62">
      <c r="A196" s="54" t="n"/>
      <c r="B196" s="33" t="n"/>
      <c r="C196" s="34" t="n"/>
      <c r="D196" s="34" t="n"/>
      <c r="E196" s="35" t="n"/>
      <c r="F196" s="35" t="n"/>
      <c r="G196" s="41" t="n"/>
      <c r="H196" s="34" t="n"/>
      <c r="I196" s="36" t="n"/>
      <c r="J196" s="37" t="n"/>
    </row>
    <row r="197" ht="15" customHeight="1" s="62">
      <c r="A197" s="54" t="n"/>
      <c r="B197" s="33" t="n"/>
      <c r="C197" s="34" t="n"/>
      <c r="D197" s="34" t="n"/>
      <c r="E197" s="35" t="n"/>
      <c r="F197" s="35" t="n"/>
      <c r="G197" s="41" t="n"/>
      <c r="H197" s="34" t="n"/>
      <c r="I197" s="36" t="n"/>
      <c r="J197" s="37" t="n"/>
    </row>
    <row r="198" ht="15" customHeight="1" s="62">
      <c r="A198" s="54" t="n"/>
      <c r="B198" s="33" t="n"/>
      <c r="C198" s="34" t="n"/>
      <c r="D198" s="34" t="n"/>
      <c r="E198" s="35" t="n"/>
      <c r="F198" s="35" t="n"/>
      <c r="G198" s="41" t="n"/>
      <c r="H198" s="34" t="n"/>
      <c r="I198" s="36" t="n"/>
      <c r="J198" s="37" t="n"/>
    </row>
    <row r="199" ht="15" customHeight="1" s="62">
      <c r="A199" s="54" t="n"/>
      <c r="B199" s="33" t="n"/>
      <c r="C199" s="34" t="n"/>
      <c r="D199" s="34" t="n"/>
      <c r="E199" s="35" t="n"/>
      <c r="F199" s="35" t="n"/>
      <c r="G199" s="41" t="n"/>
      <c r="H199" s="34" t="n"/>
      <c r="I199" s="36" t="n"/>
      <c r="J199" s="37" t="n"/>
    </row>
    <row r="200" ht="15" customHeight="1" s="62">
      <c r="A200" s="54" t="n"/>
      <c r="B200" s="33" t="n"/>
      <c r="C200" s="34" t="n"/>
      <c r="D200" s="34" t="n"/>
      <c r="E200" s="35" t="n"/>
      <c r="F200" s="35" t="n"/>
      <c r="G200" s="41" t="n"/>
      <c r="H200" s="34" t="n"/>
      <c r="I200" s="36" t="n"/>
      <c r="J200" s="37" t="n"/>
    </row>
    <row r="201" ht="15" customHeight="1" s="62">
      <c r="A201" s="54" t="n"/>
      <c r="B201" s="33" t="n"/>
      <c r="C201" s="34" t="n"/>
      <c r="D201" s="34" t="n"/>
      <c r="E201" s="35" t="n"/>
      <c r="F201" s="35" t="n"/>
      <c r="G201" s="41" t="n"/>
      <c r="H201" s="34" t="n"/>
      <c r="I201" s="36" t="n"/>
      <c r="J201" s="37" t="n"/>
    </row>
    <row r="202" ht="15" customHeight="1" s="62">
      <c r="A202" s="54" t="n"/>
      <c r="B202" s="33" t="n"/>
      <c r="C202" s="34" t="n"/>
      <c r="D202" s="34" t="n"/>
      <c r="E202" s="35" t="n"/>
      <c r="F202" s="35" t="n"/>
      <c r="G202" s="41" t="n"/>
      <c r="H202" s="34" t="n"/>
      <c r="I202" s="36" t="n"/>
      <c r="J202" s="37" t="n"/>
    </row>
    <row r="203" ht="15" customHeight="1" s="62">
      <c r="A203" s="54" t="n"/>
      <c r="B203" s="33" t="n"/>
      <c r="C203" s="34" t="n"/>
      <c r="D203" s="34" t="n"/>
      <c r="E203" s="35" t="n"/>
      <c r="F203" s="35" t="n"/>
      <c r="G203" s="41" t="n"/>
      <c r="H203" s="34" t="n"/>
      <c r="I203" s="36" t="n"/>
      <c r="J203" s="37" t="n"/>
    </row>
    <row r="204" ht="15" customHeight="1" s="62">
      <c r="A204" s="54" t="n"/>
      <c r="B204" s="33" t="n"/>
      <c r="C204" s="34" t="n"/>
      <c r="D204" s="34" t="n"/>
      <c r="E204" s="35" t="n"/>
      <c r="F204" s="35" t="n"/>
      <c r="G204" s="41" t="n"/>
      <c r="H204" s="34" t="n"/>
      <c r="I204" s="36" t="n"/>
      <c r="J204" s="37" t="n"/>
    </row>
    <row r="205" ht="15" customHeight="1" s="62">
      <c r="A205" s="54" t="n"/>
      <c r="B205" s="33" t="n"/>
      <c r="C205" s="34" t="n"/>
      <c r="D205" s="34" t="n"/>
      <c r="E205" s="35" t="n"/>
      <c r="F205" s="35" t="n"/>
      <c r="G205" s="41" t="n"/>
      <c r="H205" s="34" t="n"/>
      <c r="I205" s="36" t="n"/>
      <c r="J205" s="37" t="n"/>
    </row>
    <row r="206" ht="15" customHeight="1" s="62">
      <c r="A206" s="54" t="n"/>
      <c r="B206" s="33" t="n"/>
      <c r="C206" s="34" t="n"/>
      <c r="D206" s="34" t="n"/>
      <c r="E206" s="35" t="n"/>
      <c r="F206" s="35" t="n"/>
      <c r="G206" s="41" t="n"/>
      <c r="H206" s="34" t="n"/>
      <c r="I206" s="36" t="n"/>
      <c r="J206" s="37" t="n"/>
    </row>
  </sheetData>
  <mergeCells count="3">
    <mergeCell ref="A1:J1"/>
    <mergeCell ref="A4:J4"/>
    <mergeCell ref="A2:J2"/>
  </mergeCells>
  <conditionalFormatting sqref="A6:H101">
    <cfRule type="expression" priority="9" dxfId="1">
      <formula>$C6="Monthly Rent Charge"</formula>
    </cfRule>
    <cfRule type="expression" priority="11" dxfId="0">
      <formula>$C6="Payment Received"</formula>
    </cfRule>
  </conditionalFormatting>
  <conditionalFormatting sqref="H3">
    <cfRule type="cellIs" priority="16" operator="lessThan" dxfId="3">
      <formula>0</formula>
    </cfRule>
    <cfRule type="cellIs" priority="17" operator="equal" dxfId="3">
      <formula>0</formula>
    </cfRule>
    <cfRule type="cellIs" priority="18" operator="greaterThan" dxfId="2">
      <formula>0</formula>
    </cfRule>
  </conditionalFormatting>
  <conditionalFormatting sqref="I6:I101">
    <cfRule type="cellIs" priority="13" operator="lessThan" dxfId="3">
      <formula>0</formula>
    </cfRule>
    <cfRule type="cellIs" priority="14" operator="equal" dxfId="3">
      <formula>0</formula>
    </cfRule>
    <cfRule type="cellIs" priority="15" operator="greaterThan" dxfId="2">
      <formula>0</formula>
    </cfRule>
  </conditionalFormatting>
  <conditionalFormatting sqref="J6:J101">
    <cfRule type="expression" priority="10" dxfId="1">
      <formula>$C6="Monthly Rent Charge"</formula>
    </cfRule>
    <cfRule type="expression" priority="12" dxfId="0">
      <formula>$C6="Payment Received"</formula>
    </cfRule>
  </conditionalFormatting>
  <dataValidations count="3">
    <dataValidation sqref="B6:B91" showDropDown="0" showInputMessage="0" showErrorMessage="0" allowBlank="1" type="list">
      <formula1>"January,February,March,April,May,June,July,August,September,October,November,December"</formula1>
      <formula2>0</formula2>
    </dataValidation>
    <dataValidation sqref="C6:C91" showDropDown="0" showInputMessage="0" showErrorMessage="0" allowBlank="1" type="list">
      <formula1>"Monthly Rent Charge,Payment Received"</formula1>
      <formula2>0</formula2>
    </dataValidation>
    <dataValidation sqref="A6:A206" showDropDown="0" showInputMessage="1" showErrorMessage="1" allowBlank="1" errorTitle="Invalid date" error="Please enter a valid date." promptTitle="Select a date" prompt="Use the date picker or enter a valid payment date here." type="date">
      <formula1>DATE(2000,1,1)</formula1>
      <formula2>DATE(2100,12,31)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L206"/>
  <sheetViews>
    <sheetView tabSelected="1" zoomScaleNormal="100" workbookViewId="0">
      <selection activeCell="J25" sqref="J25"/>
    </sheetView>
  </sheetViews>
  <sheetFormatPr baseColWidth="8" defaultColWidth="8.6640625" defaultRowHeight="14.4"/>
  <cols>
    <col width="14" customWidth="1" style="62" min="1" max="1"/>
    <col width="24" customWidth="1" style="62" min="3" max="3"/>
    <col width="14.6640625" customWidth="1" style="62" min="4" max="4"/>
    <col width="15" customWidth="1" style="62" min="5" max="5"/>
    <col width="17" customWidth="1" style="62" min="6" max="6"/>
    <col width="18" customWidth="1" style="62" min="7" max="7"/>
    <col width="22" customWidth="1" style="62" min="8" max="8"/>
    <col width="17" customWidth="1" style="62" min="9" max="9"/>
    <col width="30" customWidth="1" style="62" min="10" max="10"/>
    <col width="12" customWidth="1" style="62" min="11" max="11"/>
    <col width="10" customWidth="1" style="62" min="12" max="12"/>
  </cols>
  <sheetData>
    <row r="1" ht="19.5" customHeight="1" s="62">
      <c r="A1" s="74" t="inlineStr">
        <is>
          <t>Unit Shop 1 — Tenant Statement / Ledger</t>
        </is>
      </c>
    </row>
    <row r="2" ht="27.75" customHeight="1" s="62">
      <c r="A2" s="76" t="inlineStr">
        <is>
          <t>Select a month to create a Monthly Rent Charge: the date fills as the first day of that month (current year) and description fills automatically. For a payment, leave Month blank and choose Payment Received.</t>
        </is>
      </c>
    </row>
    <row r="3" ht="15" customHeight="1" s="62">
      <c r="A3" s="25" t="inlineStr">
        <is>
          <t>Unit</t>
        </is>
      </c>
      <c r="B3" s="25" t="inlineStr">
        <is>
          <t>Shop 1</t>
        </is>
      </c>
      <c r="C3" s="25" t="inlineStr">
        <is>
          <t>Current Rent</t>
        </is>
      </c>
      <c r="D3" s="26" t="n">
        <v>10000</v>
      </c>
      <c r="E3" s="26" t="inlineStr">
        <is>
          <t>Garbage</t>
        </is>
      </c>
      <c r="F3" s="26" t="n">
        <v>0</v>
      </c>
      <c r="G3" s="25" t="inlineStr">
        <is>
          <t>Current Balance</t>
        </is>
      </c>
      <c r="H3" s="27">
        <f>IFERROR(LOOKUP(9.99E+307,I6:I41),0)</f>
        <v/>
      </c>
      <c r="I3" s="25" t="inlineStr">
        <is>
          <t>Tenant</t>
        </is>
      </c>
      <c r="J3" s="28" t="inlineStr">
        <is>
          <t>Allan Macharia /Ann Mwangi</t>
        </is>
      </c>
      <c r="K3" s="29" t="inlineStr">
        <is>
          <t>Deposit Held</t>
        </is>
      </c>
      <c r="L3" s="30" t="n">
        <v>0</v>
      </c>
    </row>
    <row r="4">
      <c r="A4" s="75" t="inlineStr">
        <is>
          <t>Current tenant only. When vacating → copy rows to Archive sheet, then clear this ledger.</t>
        </is>
      </c>
    </row>
    <row r="5" ht="15" customHeight="1" s="62">
      <c r="A5" s="31" t="inlineStr">
        <is>
          <t>Date</t>
        </is>
      </c>
      <c r="B5" s="31" t="inlineStr">
        <is>
          <t>Month</t>
        </is>
      </c>
      <c r="C5" s="31" t="inlineStr">
        <is>
          <t>Description</t>
        </is>
      </c>
      <c r="D5" s="31" t="inlineStr">
        <is>
          <t>Tenant</t>
        </is>
      </c>
      <c r="E5" s="31" t="inlineStr">
        <is>
          <t>Rent Charged</t>
        </is>
      </c>
      <c r="F5" s="31" t="inlineStr">
        <is>
          <t>Garbage Charged</t>
        </is>
      </c>
      <c r="G5" s="31" t="inlineStr">
        <is>
          <t>Payment Received</t>
        </is>
      </c>
      <c r="H5" s="31" t="inlineStr">
        <is>
          <t>M-Pesa Reference</t>
        </is>
      </c>
      <c r="I5" s="31" t="inlineStr">
        <is>
          <t>Running Balance</t>
        </is>
      </c>
      <c r="J5" s="31" t="inlineStr">
        <is>
          <t>Remarks</t>
        </is>
      </c>
    </row>
    <row r="6" ht="15" customHeight="1" s="62">
      <c r="A6" s="54" t="n">
        <v>45870</v>
      </c>
      <c r="B6" s="33" t="inlineStr">
        <is>
          <t>August</t>
        </is>
      </c>
      <c r="C6" s="34">
        <f>IF(B6="","","Monthly Rent Charge")</f>
        <v/>
      </c>
      <c r="D6" s="34" t="n"/>
      <c r="E6" s="35" t="n">
        <v>10000</v>
      </c>
      <c r="F6" s="35">
        <f>IF(C6="Monthly Rent Charge",$F$3,"")</f>
        <v/>
      </c>
      <c r="G6" s="41" t="n"/>
      <c r="H6" s="34" t="n"/>
      <c r="I6" s="36">
        <f>IF(A6="","",IF(C6="Payment Received",-IFERROR(G6,0),IF(C6="Monthly Rent Charge",IFERROR(E6,0)+IFERROR(F6,0),0)))</f>
        <v/>
      </c>
      <c r="J6" s="59" t="inlineStr">
        <is>
          <t>10,000 for Deposit (Never Paid)</t>
        </is>
      </c>
    </row>
    <row r="7" ht="15" customHeight="1" s="62">
      <c r="A7" s="53" t="n">
        <v>45898</v>
      </c>
      <c r="B7" s="33" t="n"/>
      <c r="C7" s="34" t="inlineStr">
        <is>
          <t>Payment Received</t>
        </is>
      </c>
      <c r="D7" s="34" t="n"/>
      <c r="E7" s="35">
        <f>IF(C7="Monthly Rent Charge",$D$3,"")</f>
        <v/>
      </c>
      <c r="F7" s="35">
        <f>IF(C7="Monthly Rent Charge",$F$3,"")</f>
        <v/>
      </c>
      <c r="G7" s="41" t="n">
        <v>10000</v>
      </c>
      <c r="H7" s="39" t="inlineStr">
        <is>
          <t>TNT0I9IQXQ</t>
        </is>
      </c>
      <c r="I7" s="36">
        <f>IF(A7="","",IF(C7="Payment Received",I6-IFERROR(G7,0),IF(C7="Monthly Rent Charge",I6+IFERROR(E7,0)+IFERROR(F7,0),I6)))</f>
        <v/>
      </c>
      <c r="J7" s="37" t="inlineStr">
        <is>
          <t>Paid for September</t>
        </is>
      </c>
    </row>
    <row r="8" ht="15" customHeight="1" s="62">
      <c r="A8" s="54" t="n">
        <v>45931</v>
      </c>
      <c r="B8" s="33" t="inlineStr">
        <is>
          <t>October</t>
        </is>
      </c>
      <c r="C8" s="34">
        <f>IF(B8="","","Monthly Rent Charge")</f>
        <v/>
      </c>
      <c r="D8" s="34" t="n"/>
      <c r="E8" s="35">
        <f>IF(C8="Monthly Rent Charge",$D$3,"")</f>
        <v/>
      </c>
      <c r="F8" s="35">
        <f>IF(C8="Monthly Rent Charge",$F$3,"")</f>
        <v/>
      </c>
      <c r="G8" s="41" t="n"/>
      <c r="H8" s="34" t="n"/>
      <c r="I8" s="36">
        <f>IF(A8="","",IF(C8="Payment Received",I7-IFERROR(G8,0),IF(C8="Monthly Rent Charge",I7+IFERROR(E8,0)+IFERROR(F8,0),I7)))</f>
        <v/>
      </c>
      <c r="J8" s="37" t="n"/>
    </row>
    <row r="9" ht="15" customHeight="1" s="62">
      <c r="A9" s="53" t="n">
        <v>45933</v>
      </c>
      <c r="B9" s="33" t="n"/>
      <c r="C9" s="34" t="inlineStr">
        <is>
          <t>Payment Received</t>
        </is>
      </c>
      <c r="D9" s="34" t="n"/>
      <c r="E9" s="35">
        <f>IF(C9="Monthly Rent Charge",$D$3,"")</f>
        <v/>
      </c>
      <c r="F9" s="35">
        <f>IF(C9="Monthly Rent Charge",$F$3,"")</f>
        <v/>
      </c>
      <c r="G9" s="41" t="n">
        <v>10000</v>
      </c>
      <c r="H9" s="39" t="inlineStr">
        <is>
          <t>TJ33O6ES5V</t>
        </is>
      </c>
      <c r="I9" s="36">
        <f>IF(A9="","",IF(C9="Payment Received",I8-IFERROR(G9,0),IF(C9="Monthly Rent Charge",I8+IFERROR(E9,0)+IFERROR(F9,0),I8)))</f>
        <v/>
      </c>
      <c r="J9" s="37" t="n"/>
    </row>
    <row r="10" ht="15" customHeight="1" s="62">
      <c r="A10" s="54" t="n">
        <v>45962</v>
      </c>
      <c r="B10" s="33" t="inlineStr">
        <is>
          <t>November</t>
        </is>
      </c>
      <c r="C10" s="34">
        <f>IF(B10="","","Monthly Rent Charge")</f>
        <v/>
      </c>
      <c r="D10" s="34" t="n"/>
      <c r="E10" s="35">
        <f>IF(C10="Monthly Rent Charge",$D$3,"")</f>
        <v/>
      </c>
      <c r="F10" s="35">
        <f>IF(C10="Monthly Rent Charge",$F$3,"")</f>
        <v/>
      </c>
      <c r="G10" s="41" t="n"/>
      <c r="H10" s="34" t="n"/>
      <c r="I10" s="36">
        <f>IF(A10="","",IF(C10="Payment Received",I9-IFERROR(G10,0),IF(C10="Monthly Rent Charge",I9+IFERROR(E10,0)+IFERROR(F10,0),I9)))</f>
        <v/>
      </c>
      <c r="J10" s="37" t="n"/>
    </row>
    <row r="11" ht="15" customHeight="1" s="62">
      <c r="A11" s="54" t="n">
        <v>45992</v>
      </c>
      <c r="B11" s="33" t="inlineStr">
        <is>
          <t>December</t>
        </is>
      </c>
      <c r="C11" s="34">
        <f>IF(B11="","","Monthly Rent Charge")</f>
        <v/>
      </c>
      <c r="D11" s="34" t="n"/>
      <c r="E11" s="35">
        <f>IF(C11="Monthly Rent Charge",$D$3,"")</f>
        <v/>
      </c>
      <c r="F11" s="35">
        <f>IF(C11="Monthly Rent Charge",$F$3,"")</f>
        <v/>
      </c>
      <c r="G11" s="41" t="n"/>
      <c r="H11" s="34" t="n"/>
      <c r="I11" s="36">
        <f>IF(A11="","",IF(C11="Payment Received",I10-IFERROR(G11,0),IF(C11="Monthly Rent Charge",I10+IFERROR(E11,0)+IFERROR(F11,0),I10)))</f>
        <v/>
      </c>
      <c r="J11" s="37" t="n"/>
    </row>
    <row r="12" ht="15" customHeight="1" s="62">
      <c r="A12" s="24" t="n">
        <v>46014</v>
      </c>
      <c r="B12" s="33" t="n"/>
      <c r="C12" s="34" t="inlineStr">
        <is>
          <t>Payment Received</t>
        </is>
      </c>
      <c r="D12" s="34" t="n"/>
      <c r="E12" s="35">
        <f>IF(C12="Monthly Rent Charge",$D$3,"")</f>
        <v/>
      </c>
      <c r="F12" s="35">
        <f>IF(C12="Monthly Rent Charge",$F$3,"")</f>
        <v/>
      </c>
      <c r="G12" s="41" t="n">
        <v>10000</v>
      </c>
      <c r="H12" s="32" t="inlineStr">
        <is>
          <t>TLN3O220O89</t>
        </is>
      </c>
      <c r="I12" s="36">
        <f>IF(A12="","",IF(C12="Payment Received",I11-IFERROR(G12,0),IF(C12="Monthly Rent Charge",I11+IFERROR(E12,0)+IFERROR(F12,0),I11)))</f>
        <v/>
      </c>
      <c r="J12" s="37" t="n"/>
    </row>
    <row r="13" ht="15" customHeight="1" s="62">
      <c r="A13" s="54">
        <f>IF(B13="","",DATE(YEAR(TODAY()),MATCH(B13,{"January","February","March","April","May","June","July","August","September","October","November","December"},0),1))</f>
        <v/>
      </c>
      <c r="B13" s="33" t="inlineStr">
        <is>
          <t>January</t>
        </is>
      </c>
      <c r="C13" s="34">
        <f>IF(B13="","","Monthly Rent Charge")</f>
        <v/>
      </c>
      <c r="D13" s="34" t="n"/>
      <c r="E13" s="35">
        <f>IF(C13="Monthly Rent Charge",$D$3,"")</f>
        <v/>
      </c>
      <c r="F13" s="35">
        <f>IF(C13="Monthly Rent Charge",$F$3,"")</f>
        <v/>
      </c>
      <c r="G13" s="41" t="n"/>
      <c r="H13" s="34" t="n"/>
      <c r="I13" s="36">
        <f>IF(A13="","",IF(C13="Payment Received",I12-IFERROR(G13,0),IF(C13="Monthly Rent Charge",I12+IFERROR(E13,0)+IFERROR(F13,0),I12)))</f>
        <v/>
      </c>
      <c r="J13" s="37" t="n"/>
    </row>
    <row r="14" ht="15" customHeight="1" s="62">
      <c r="A14" s="54">
        <f>IF(B14="","",DATE(YEAR(TODAY()),MATCH(B14,{"January","February","March","April","May","June","July","August","September","October","November","December"},0),1))</f>
        <v/>
      </c>
      <c r="B14" s="33" t="inlineStr">
        <is>
          <t>February</t>
        </is>
      </c>
      <c r="C14" s="34">
        <f>IF(B14="","","Monthly Rent Charge")</f>
        <v/>
      </c>
      <c r="D14" s="34" t="n"/>
      <c r="E14" s="35">
        <f>IF(C14="Monthly Rent Charge",$D$3,"")</f>
        <v/>
      </c>
      <c r="F14" s="35">
        <f>IF(C14="Monthly Rent Charge",$F$3,"")</f>
        <v/>
      </c>
      <c r="G14" s="41" t="n"/>
      <c r="H14" s="34" t="n"/>
      <c r="I14" s="36">
        <f>IF(A14="","",IF(C14="Payment Received",I13-IFERROR(G14,0),IF(C14="Monthly Rent Charge",I13+IFERROR(E14,0)+IFERROR(F14,0),I13)))</f>
        <v/>
      </c>
      <c r="J14" s="37" t="n"/>
    </row>
    <row r="15" ht="15" customHeight="1" s="62">
      <c r="A15" s="53" t="n">
        <v>46065</v>
      </c>
      <c r="B15" s="33" t="n"/>
      <c r="C15" s="34" t="inlineStr">
        <is>
          <t>Payment Received</t>
        </is>
      </c>
      <c r="D15" s="34" t="n"/>
      <c r="E15" s="35">
        <f>IF(C15="Monthly Rent Charge",$D$3,"")</f>
        <v/>
      </c>
      <c r="F15" s="35">
        <f>IF(C15="Monthly Rent Charge",$F$3,"")</f>
        <v/>
      </c>
      <c r="G15" s="41" t="n">
        <v>20000</v>
      </c>
      <c r="H15" s="39" t="inlineStr">
        <is>
          <t>UBC306X9AG</t>
        </is>
      </c>
      <c r="I15" s="36">
        <f>IF(A15="","",IF(C15="Payment Received",I14-IFERROR(G15,0),IF(C15="Monthly Rent Charge",I14+IFERROR(E15,0)+IFERROR(F15,0),I14)))</f>
        <v/>
      </c>
      <c r="J15" s="37" t="n"/>
    </row>
    <row r="16" ht="15" customHeight="1" s="62">
      <c r="A16" s="54">
        <f>IF(B16="","",DATE(YEAR(TODAY()),MATCH(B16,{"January","February","March","April","May","June","July","August","September","October","November","December"},0),1))</f>
        <v/>
      </c>
      <c r="B16" s="33" t="inlineStr">
        <is>
          <t>March</t>
        </is>
      </c>
      <c r="C16" s="34">
        <f>IF(B16="","","Monthly Rent Charge")</f>
        <v/>
      </c>
      <c r="D16" s="34" t="n"/>
      <c r="E16" s="35">
        <f>IF(C16="Monthly Rent Charge",$D$3,"")</f>
        <v/>
      </c>
      <c r="F16" s="35">
        <f>IF(C16="Monthly Rent Charge",$F$3,"")</f>
        <v/>
      </c>
      <c r="G16" s="41" t="n"/>
      <c r="H16" s="34" t="n"/>
      <c r="I16" s="36">
        <f>IF(A16="","",IF(C16="Payment Received",I15-IFERROR(G16,0),IF(C16="Monthly Rent Charge",I15+IFERROR(E16,0)+IFERROR(F16,0),I15)))</f>
        <v/>
      </c>
      <c r="J16" s="37" t="n"/>
    </row>
    <row r="17" ht="15" customHeight="1" s="62">
      <c r="A17" s="53" t="n">
        <v>46091</v>
      </c>
      <c r="B17" s="33" t="n"/>
      <c r="C17" s="34" t="inlineStr">
        <is>
          <t>Payment Received</t>
        </is>
      </c>
      <c r="D17" s="34" t="n"/>
      <c r="E17" s="35">
        <f>IF(C17="Monthly Rent Charge",$D$3,"")</f>
        <v/>
      </c>
      <c r="F17" s="35">
        <f>IF(C17="Monthly Rent Charge",$F$3,"")</f>
        <v/>
      </c>
      <c r="G17" s="41" t="n">
        <v>10000</v>
      </c>
      <c r="H17" s="39" t="inlineStr">
        <is>
          <t>UCA3O9FAR9</t>
        </is>
      </c>
      <c r="I17" s="36">
        <f>IF(A17="","",IF(C17="Payment Received",I16-IFERROR(G17,0),IF(C17="Monthly Rent Charge",I16+IFERROR(E17,0)+IFERROR(F17,0),I16)))</f>
        <v/>
      </c>
      <c r="J17" s="37" t="n"/>
    </row>
    <row r="18" ht="15" customHeight="1" s="62">
      <c r="A18" s="53" t="n">
        <v>46097</v>
      </c>
      <c r="B18" s="33" t="n"/>
      <c r="C18" s="34" t="inlineStr">
        <is>
          <t>Payment Received</t>
        </is>
      </c>
      <c r="D18" s="34" t="n"/>
      <c r="E18" s="35">
        <f>IF(C18="Monthly Rent Charge",$D$3,"")</f>
        <v/>
      </c>
      <c r="F18" s="35">
        <f>IF(C18="Monthly Rent Charge",$F$3,"")</f>
        <v/>
      </c>
      <c r="G18" s="41" t="n">
        <v>10000</v>
      </c>
      <c r="H18" s="39" t="inlineStr">
        <is>
          <t>UCG3O9ZK6A</t>
        </is>
      </c>
      <c r="I18" s="36">
        <f>IF(A18="","",IF(C18="Payment Received",I17-IFERROR(G18,0),IF(C18="Monthly Rent Charge",I17+IFERROR(E18,0)+IFERROR(F18,0),I17)))</f>
        <v/>
      </c>
      <c r="J18" s="37" t="n"/>
    </row>
    <row r="19" ht="15" customHeight="1" s="62">
      <c r="A19" s="54">
        <f>IF(B19="","",DATE(YEAR(TODAY()),MATCH(B19,{"January","February","March","April","May","June","July","August","September","October","November","December"},0),1))</f>
        <v/>
      </c>
      <c r="B19" s="33" t="inlineStr">
        <is>
          <t>April</t>
        </is>
      </c>
      <c r="C19" s="34">
        <f>IF(B19="","","Monthly Rent Charge")</f>
        <v/>
      </c>
      <c r="D19" s="34" t="n"/>
      <c r="E19" s="35">
        <f>IF(C19="Monthly Rent Charge",$D$3,"")</f>
        <v/>
      </c>
      <c r="F19" s="35">
        <f>IF(C19="Monthly Rent Charge",$F$3,"")</f>
        <v/>
      </c>
      <c r="G19" s="41" t="n"/>
      <c r="H19" s="34" t="n"/>
      <c r="I19" s="36">
        <f>IF(A19="","",IF(C19="Payment Received",I18-IFERROR(G19,0),IF(C19="Monthly Rent Charge",I18+IFERROR(E19,0)+IFERROR(F19,0),I18)))</f>
        <v/>
      </c>
      <c r="J19" s="37" t="n"/>
    </row>
    <row r="20" ht="15" customHeight="1" s="62">
      <c r="A20" s="53" t="n">
        <v>46129</v>
      </c>
      <c r="B20" s="33" t="n"/>
      <c r="C20" s="34" t="inlineStr">
        <is>
          <t>Payment Received</t>
        </is>
      </c>
      <c r="D20" s="34" t="n"/>
      <c r="E20" s="35">
        <f>IF(C20="Monthly Rent Charge",$D$3,"")</f>
        <v/>
      </c>
      <c r="F20" s="35">
        <f>IF(C20="Monthly Rent Charge",$F$3,"")</f>
        <v/>
      </c>
      <c r="G20" s="41" t="n">
        <v>10000</v>
      </c>
      <c r="H20" s="39" t="inlineStr">
        <is>
          <t>UDH3O1QHCU</t>
        </is>
      </c>
      <c r="I20" s="36">
        <f>IF(A20="","",IF(C20="Payment Received",I19-IFERROR(G20,0),IF(C20="Monthly Rent Charge",I19+IFERROR(E20,0)+IFERROR(F20,0),I19)))</f>
        <v/>
      </c>
      <c r="J20" s="37" t="n"/>
    </row>
    <row r="21" ht="15" customHeight="1" s="62">
      <c r="A21" s="54">
        <f>IF(B21="","",DATE(YEAR(TODAY()),MATCH(B21,{"January","February","March","April","May","June","July","August","September","October","November","December"},0),1))</f>
        <v/>
      </c>
      <c r="B21" s="33" t="inlineStr">
        <is>
          <t>May</t>
        </is>
      </c>
      <c r="C21" s="34">
        <f>IF(B21="","","Monthly Rent Charge")</f>
        <v/>
      </c>
      <c r="D21" s="34" t="n"/>
      <c r="E21" s="35">
        <f>IF(C21="Monthly Rent Charge",$D$3,"")</f>
        <v/>
      </c>
      <c r="F21" s="35">
        <f>IF(C21="Monthly Rent Charge",$F$3,"")</f>
        <v/>
      </c>
      <c r="G21" s="41" t="n"/>
      <c r="H21" s="34" t="n"/>
      <c r="I21" s="36">
        <f>IF(AND(A21="",C21=""),"",IF(C21="Payment Received",I20-IFERROR(G21,0),IF(C21="Monthly Rent Charge",I20+IFERROR(E21,0)+IFERROR(F21,0),I20)))</f>
        <v/>
      </c>
      <c r="J21" s="37" t="n"/>
    </row>
    <row r="22" ht="15" customHeight="1" s="62">
      <c r="A22" s="54" t="n">
        <v>46154</v>
      </c>
      <c r="B22" s="33" t="n"/>
      <c r="C22" s="34" t="inlineStr">
        <is>
          <t>Payment Received</t>
        </is>
      </c>
      <c r="D22" s="34" t="n"/>
      <c r="E22" s="35">
        <f>IF(C22="Monthly Rent Charge",$D$3,"")</f>
        <v/>
      </c>
      <c r="F22" s="35">
        <f>IF(C22="Monthly Rent Charge",$F$3,"")</f>
        <v/>
      </c>
      <c r="G22" s="41" t="n">
        <v>10000</v>
      </c>
      <c r="H22" s="60" t="inlineStr">
        <is>
          <t>UECOM3XS7A</t>
        </is>
      </c>
      <c r="I22" s="36">
        <f>IF(AND(A22="",C22=""),"",IF(C22="Payment Received",I21-IFERROR(G22,0),IF(C22="Monthly Rent Charge",I21+IFERROR(E22,0)+IFERROR(F22,0),I21)))</f>
        <v/>
      </c>
      <c r="J22" s="37" t="n"/>
    </row>
    <row r="23" ht="15" customHeight="1" s="62">
      <c r="A23" s="54">
        <f>IF(B23="","",DATE(YEAR(TODAY()),MATCH(B23,{"January","February","March","April","May","June","July","August","September","October","November","December"},0),1))</f>
        <v/>
      </c>
      <c r="B23" s="33" t="inlineStr">
        <is>
          <t>June</t>
        </is>
      </c>
      <c r="C23" s="34">
        <f>IF(B23="","","Monthly Rent Charge")</f>
        <v/>
      </c>
      <c r="D23" s="34" t="n"/>
      <c r="E23" s="35">
        <f>IF(C23="Monthly Rent Charge",$D$3,"")</f>
        <v/>
      </c>
      <c r="F23" s="35">
        <f>IF(C23="Monthly Rent Charge",$F$3,"")</f>
        <v/>
      </c>
      <c r="G23" s="41" t="n"/>
      <c r="H23" s="34" t="n"/>
      <c r="I23" s="36">
        <f>IF(AND(A23="",C23=""),"",IF(C23="Payment Received",I22-IFERROR(G23,0),IF(C23="Monthly Rent Charge",I22+IFERROR(E23,0)+IFERROR(F23,0),I22)))</f>
        <v/>
      </c>
      <c r="J23" s="37" t="n"/>
    </row>
    <row r="24" ht="15" customHeight="1" s="62">
      <c r="A24" s="54" t="n">
        <v>46188</v>
      </c>
      <c r="B24" s="33" t="n"/>
      <c r="C24" s="34" t="inlineStr">
        <is>
          <t>Payment Received</t>
        </is>
      </c>
      <c r="D24" s="34" t="n"/>
      <c r="E24" s="35">
        <f>IF(C24="Monthly Rent Charge",$D$3,"")</f>
        <v/>
      </c>
      <c r="F24" s="35">
        <f>IF(C24="Monthly Rent Charge",$F$3,"")</f>
        <v/>
      </c>
      <c r="G24" s="41" t="n">
        <v>10000</v>
      </c>
      <c r="H24" s="60" t="inlineStr">
        <is>
          <t>UFFLO7UNIQ</t>
        </is>
      </c>
      <c r="I24" s="36">
        <f>IF(AND(A24="",C24=""),"",IF(C24="Payment Received",I23-IFERROR(G24,0),IF(C24="Monthly Rent Charge",I23+IFERROR(E24,0)+IFERROR(F24,0),I23)))</f>
        <v/>
      </c>
      <c r="J24" s="37" t="n"/>
    </row>
    <row r="25" ht="15" customHeight="1" s="62">
      <c r="A25" s="54">
        <f>IF(B25="","",DATE(YEAR(TODAY()),MATCH(B25,{"January","February","March","April","May","June","July","August","September","October","November","December"},0),1))</f>
        <v/>
      </c>
      <c r="B25" s="33" t="inlineStr">
        <is>
          <t>July</t>
        </is>
      </c>
      <c r="C25" s="34">
        <f>IF(B25="","","Monthly Rent Charge")</f>
        <v/>
      </c>
      <c r="D25" s="34" t="n"/>
      <c r="E25" s="35">
        <f>IF(C25="Monthly Rent Charge",$D$3,"")</f>
        <v/>
      </c>
      <c r="F25" s="35">
        <f>IF(C25="Monthly Rent Charge",$F$3,"")</f>
        <v/>
      </c>
      <c r="G25" s="41" t="n"/>
      <c r="H25" s="34" t="n"/>
      <c r="I25" s="36">
        <f>IF(AND(A25="",C25=""),"",IF(C25="Payment Received",I24-IFERROR(G25,0),IF(C25="Monthly Rent Charge",I24+IFERROR(E25,0)+IFERROR(F25,0),I24)))</f>
        <v/>
      </c>
      <c r="J25" s="37" t="n"/>
    </row>
    <row r="26" ht="15" customFormat="1" customHeight="1" s="77">
      <c r="A26" s="54" t="n">
        <v>46216</v>
      </c>
      <c r="B26" s="33" t="n"/>
      <c r="C26" s="34" t="inlineStr">
        <is>
          <t>Payment Received</t>
        </is>
      </c>
      <c r="D26" s="34" t="n"/>
      <c r="E26" s="35" t="n"/>
      <c r="F26" s="35" t="n"/>
      <c r="G26" s="41" t="n">
        <v>10000</v>
      </c>
      <c r="H26" s="34" t="n"/>
      <c r="I26" s="36">
        <f>IF(AND(A26="",C26=""),"",IF(C26="Payment Received",I25-IFERROR(G26,0),IF(C26="Monthly Rent Charge",I25+IFERROR(E26,0)+IFERROR(F26,0),I25)))</f>
        <v/>
      </c>
      <c r="J26" s="37" t="inlineStr">
        <is>
          <t>CASH</t>
        </is>
      </c>
    </row>
    <row r="27" ht="15" customHeight="1" s="62">
      <c r="A27" s="54">
        <f>IF(B27="","",DATE(YEAR(TODAY()),MATCH(B27,{"January","February","March","April","May","June","July","August","September","October","November","December"},0),1))</f>
        <v/>
      </c>
      <c r="B27" s="33" t="inlineStr">
        <is>
          <t>August</t>
        </is>
      </c>
      <c r="C27" s="34" t="inlineStr">
        <is>
          <t>Monthly Rent Charge</t>
        </is>
      </c>
      <c r="D27" s="34" t="n"/>
      <c r="E27" s="35">
        <f>IF(C27="Monthly Rent Charge",$D$3,"")</f>
        <v/>
      </c>
      <c r="F27" s="35">
        <f>IF(C27="Monthly Rent Charge",$F$3,"")</f>
        <v/>
      </c>
      <c r="G27" s="41" t="n"/>
      <c r="H27" s="34" t="n"/>
      <c r="I27" s="36">
        <f>IF(AND(A27="",C27=""),"",IF(C27="Payment Received",I26-IFERROR(G27,0),IF(C27="Monthly Rent Charge",I26+IFERROR(E27,0)+IFERROR(F27,0),I26)))</f>
        <v/>
      </c>
      <c r="J27" s="37" t="n"/>
    </row>
    <row r="28" ht="15" customHeight="1" s="62">
      <c r="A28" s="54" t="n">
        <v>46244</v>
      </c>
      <c r="B28" s="33" t="n"/>
      <c r="C28" s="34" t="inlineStr">
        <is>
          <t>Payment Received</t>
        </is>
      </c>
      <c r="D28" s="34" t="n"/>
      <c r="E28" s="35">
        <f>IF(C28="Monthly Rent Charge",$D$3,"")</f>
        <v/>
      </c>
      <c r="F28" s="35">
        <f>IF(C28="Monthly Rent Charge",$F$3,"")</f>
        <v/>
      </c>
      <c r="G28" s="41" t="n">
        <v>10000</v>
      </c>
      <c r="H28" s="60" t="inlineStr">
        <is>
          <t>UHALO28D5G</t>
        </is>
      </c>
      <c r="I28" s="36">
        <f>IF(AND(A28="",C28=""),"",IF(C28="Payment Received",I27-IFERROR(G28,0),IF(C28="Monthly Rent Charge",I27+IFERROR(E28,0)+IFERROR(F28,0),I27)))</f>
        <v/>
      </c>
      <c r="J28" s="37" t="n"/>
    </row>
    <row r="29" ht="15" customHeight="1" s="62">
      <c r="A29" s="54">
        <f>IF(B29="","",DATE(YEAR(TODAY()),MATCH(B29,{"January","February","March","April","May","June","July","August","September","October","November","December"},0),1))</f>
        <v/>
      </c>
      <c r="B29" s="33" t="n"/>
      <c r="C29" s="34">
        <f>IF(B29="","","Monthly Rent Charge")</f>
        <v/>
      </c>
      <c r="D29" s="34" t="n"/>
      <c r="E29" s="35">
        <f>IF(C29="Monthly Rent Charge",$D$3,"")</f>
        <v/>
      </c>
      <c r="F29" s="35">
        <f>IF(C29="Monthly Rent Charge",$F$3,"")</f>
        <v/>
      </c>
      <c r="G29" s="41" t="n"/>
      <c r="H29" s="34" t="n"/>
      <c r="I29" s="36">
        <f>IF(AND(A29="",C29=""),"",IF(C29="Payment Received",I28-IFERROR(G29,0),IF(C29="Monthly Rent Charge",I28+IFERROR(E29,0)+IFERROR(F29,0),IFERROR(I28,0))))</f>
        <v/>
      </c>
      <c r="J29" s="37" t="n"/>
    </row>
    <row r="30" ht="15" customHeight="1" s="62">
      <c r="A30" s="54">
        <f>IF(B30="","",DATE(YEAR(TODAY()),MATCH(B30,{"January","February","March","April","May","June","July","August","September","October","November","December"},0),1))</f>
        <v/>
      </c>
      <c r="B30" s="33" t="n"/>
      <c r="C30" s="34">
        <f>IF(B30="","","Monthly Rent Charge")</f>
        <v/>
      </c>
      <c r="D30" s="34" t="n"/>
      <c r="E30" s="35">
        <f>IF(C30="Monthly Rent Charge",$D$3,"")</f>
        <v/>
      </c>
      <c r="F30" s="35">
        <f>IF(C30="Monthly Rent Charge",$F$3,"")</f>
        <v/>
      </c>
      <c r="G30" s="41" t="n"/>
      <c r="H30" s="34" t="n"/>
      <c r="I30" s="36">
        <f>IF(AND(A30="",C30=""),"",IF(C30="Payment Received",I29-IFERROR(G30,0),IF(C30="Monthly Rent Charge",I29+IFERROR(E30,0)+IFERROR(F30,0),IFERROR(I29,0))))</f>
        <v/>
      </c>
      <c r="J30" s="37" t="n"/>
    </row>
    <row r="31" ht="15" customHeight="1" s="62">
      <c r="A31" s="54">
        <f>IF(B31="","",DATE(YEAR(TODAY()),MATCH(B31,{"January","February","March","April","May","June","July","August","September","October","November","December"},0),1))</f>
        <v/>
      </c>
      <c r="B31" s="33" t="n"/>
      <c r="C31" s="34">
        <f>IF(B31="","","Monthly Rent Charge")</f>
        <v/>
      </c>
      <c r="D31" s="34" t="n"/>
      <c r="E31" s="35">
        <f>IF(C31="Monthly Rent Charge",$D$3,"")</f>
        <v/>
      </c>
      <c r="F31" s="35">
        <f>IF(C31="Monthly Rent Charge",$F$3,"")</f>
        <v/>
      </c>
      <c r="G31" s="41" t="n"/>
      <c r="H31" s="34" t="n"/>
      <c r="I31" s="36">
        <f>IF(AND(A31="",C31=""),"",IF(C31="Payment Received",I30-IFERROR(G31,0),IF(C31="Monthly Rent Charge",I30+IFERROR(E31,0)+IFERROR(F31,0),IFERROR(I30,0))))</f>
        <v/>
      </c>
      <c r="J31" s="37" t="n"/>
    </row>
    <row r="32" ht="15" customHeight="1" s="62">
      <c r="A32" s="54">
        <f>IF(B32="","",DATE(YEAR(TODAY()),MATCH(B32,{"January","February","March","April","May","June","July","August","September","October","November","December"},0),1))</f>
        <v/>
      </c>
      <c r="B32" s="33" t="n"/>
      <c r="C32" s="34">
        <f>IF(B32="","","Monthly Rent Charge")</f>
        <v/>
      </c>
      <c r="D32" s="34" t="n"/>
      <c r="E32" s="35">
        <f>IF(C32="Monthly Rent Charge",$D$3,"")</f>
        <v/>
      </c>
      <c r="F32" s="35">
        <f>IF(C32="Monthly Rent Charge",$F$3,"")</f>
        <v/>
      </c>
      <c r="G32" s="41" t="n"/>
      <c r="H32" s="34" t="n"/>
      <c r="I32" s="36">
        <f>IF(AND(A32="",C32=""),"",IF(C32="Payment Received",I31-IFERROR(G32,0),IF(C32="Monthly Rent Charge",I31+IFERROR(E32,0)+IFERROR(F32,0),IFERROR(I31,0))))</f>
        <v/>
      </c>
      <c r="J32" s="37" t="n"/>
    </row>
    <row r="33" ht="15" customHeight="1" s="62">
      <c r="A33" s="54">
        <f>IF(B33="","",DATE(YEAR(TODAY()),MATCH(B33,{"January","February","March","April","May","June","July","August","September","October","November","December"},0),1))</f>
        <v/>
      </c>
      <c r="B33" s="33" t="n"/>
      <c r="C33" s="34">
        <f>IF(B33="","","Monthly Rent Charge")</f>
        <v/>
      </c>
      <c r="D33" s="34" t="n"/>
      <c r="E33" s="35">
        <f>IF(C33="Monthly Rent Charge",$D$3,"")</f>
        <v/>
      </c>
      <c r="F33" s="35">
        <f>IF(C33="Monthly Rent Charge",$F$3,"")</f>
        <v/>
      </c>
      <c r="G33" s="41" t="n"/>
      <c r="H33" s="34" t="n"/>
      <c r="I33" s="36">
        <f>IF(AND(A33="",C33=""),"",IF(C33="Payment Received",I32-IFERROR(G33,0),IF(C33="Monthly Rent Charge",I32+IFERROR(E33,0)+IFERROR(F33,0),IFERROR(I32,0))))</f>
        <v/>
      </c>
      <c r="J33" s="37" t="n"/>
    </row>
    <row r="34" ht="15" customHeight="1" s="62">
      <c r="A34" s="54">
        <f>IF(B34="","",DATE(YEAR(TODAY()),MATCH(B34,{"January","February","March","April","May","June","July","August","September","October","November","December"},0),1))</f>
        <v/>
      </c>
      <c r="B34" s="33" t="n"/>
      <c r="C34" s="34">
        <f>IF(B34="","","Monthly Rent Charge")</f>
        <v/>
      </c>
      <c r="D34" s="34" t="n"/>
      <c r="E34" s="35">
        <f>IF(C34="Monthly Rent Charge",$D$3,"")</f>
        <v/>
      </c>
      <c r="F34" s="35">
        <f>IF(C34="Monthly Rent Charge",$F$3,"")</f>
        <v/>
      </c>
      <c r="G34" s="41" t="n"/>
      <c r="H34" s="34" t="n"/>
      <c r="I34" s="36">
        <f>IF(AND(A34="",C34=""),"",IF(C34="Payment Received",I33-IFERROR(G34,0),IF(C34="Monthly Rent Charge",I33+IFERROR(E34,0)+IFERROR(F34,0),IFERROR(I33,0))))</f>
        <v/>
      </c>
      <c r="J34" s="37" t="n"/>
    </row>
    <row r="35" ht="15" customHeight="1" s="62">
      <c r="A35" s="54">
        <f>IF(B35="","",DATE(YEAR(TODAY()),MATCH(B35,{"January","February","March","April","May","June","July","August","September","October","November","December"},0),1))</f>
        <v/>
      </c>
      <c r="B35" s="33" t="n"/>
      <c r="C35" s="34">
        <f>IF(B35="","","Monthly Rent Charge")</f>
        <v/>
      </c>
      <c r="D35" s="34" t="n"/>
      <c r="E35" s="35">
        <f>IF(C35="Monthly Rent Charge",$D$3,"")</f>
        <v/>
      </c>
      <c r="F35" s="35">
        <f>IF(C35="Monthly Rent Charge",$F$3,"")</f>
        <v/>
      </c>
      <c r="G35" s="41" t="n"/>
      <c r="H35" s="34" t="n"/>
      <c r="I35" s="36">
        <f>IF(AND(A35="",C35=""),"",IF(C35="Payment Received",I34-IFERROR(G35,0),IF(C35="Monthly Rent Charge",I34+IFERROR(E35,0)+IFERROR(F35,0),IFERROR(I34,0))))</f>
        <v/>
      </c>
      <c r="J35" s="37" t="n"/>
    </row>
    <row r="36" ht="15" customHeight="1" s="62">
      <c r="A36" s="54">
        <f>IF(B36="","",DATE(YEAR(TODAY()),MATCH(B36,{"January","February","March","April","May","June","July","August","September","October","November","December"},0),1))</f>
        <v/>
      </c>
      <c r="B36" s="33" t="n"/>
      <c r="C36" s="34">
        <f>IF(B36="","","Monthly Rent Charge")</f>
        <v/>
      </c>
      <c r="D36" s="34" t="n"/>
      <c r="E36" s="35">
        <f>IF(C36="Monthly Rent Charge",$D$3,"")</f>
        <v/>
      </c>
      <c r="F36" s="35">
        <f>IF(C36="Monthly Rent Charge",$F$3,"")</f>
        <v/>
      </c>
      <c r="G36" s="41" t="n"/>
      <c r="H36" s="34" t="n"/>
      <c r="I36" s="36">
        <f>IF(AND(A36="",C36=""),"",IF(C36="Payment Received",I35-IFERROR(G36,0),IF(C36="Monthly Rent Charge",I35+IFERROR(E36,0)+IFERROR(F36,0),IFERROR(I35,0))))</f>
        <v/>
      </c>
      <c r="J36" s="37" t="n"/>
    </row>
    <row r="37" ht="15" customHeight="1" s="62">
      <c r="A37" s="54">
        <f>IF(B37="","",DATE(YEAR(TODAY()),MATCH(B37,{"January","February","March","April","May","June","July","August","September","October","November","December"},0),1))</f>
        <v/>
      </c>
      <c r="B37" s="33" t="n"/>
      <c r="C37" s="34">
        <f>IF(B37="","","Monthly Rent Charge")</f>
        <v/>
      </c>
      <c r="D37" s="34" t="n"/>
      <c r="E37" s="35">
        <f>IF(C37="Monthly Rent Charge",$D$3,"")</f>
        <v/>
      </c>
      <c r="F37" s="35">
        <f>IF(C37="Monthly Rent Charge",$F$3,"")</f>
        <v/>
      </c>
      <c r="G37" s="41" t="n"/>
      <c r="H37" s="34" t="n"/>
      <c r="I37" s="36">
        <f>IF(AND(A37="",C37=""),"",IF(C37="Payment Received",I36-IFERROR(G37,0),IF(C37="Monthly Rent Charge",I36+IFERROR(E37,0)+IFERROR(F37,0),IFERROR(I36,0))))</f>
        <v/>
      </c>
      <c r="J37" s="37" t="n"/>
    </row>
    <row r="38" ht="15" customHeight="1" s="62">
      <c r="A38" s="54">
        <f>IF(B38="","",DATE(YEAR(TODAY()),MATCH(B38,{"January","February","March","April","May","June","July","August","September","October","November","December"},0),1))</f>
        <v/>
      </c>
      <c r="B38" s="33" t="n"/>
      <c r="C38" s="34">
        <f>IF(B38="","","Monthly Rent Charge")</f>
        <v/>
      </c>
      <c r="D38" s="34" t="n"/>
      <c r="E38" s="35">
        <f>IF(C38="Monthly Rent Charge",$D$3,"")</f>
        <v/>
      </c>
      <c r="F38" s="35">
        <f>IF(C38="Monthly Rent Charge",$F$3,"")</f>
        <v/>
      </c>
      <c r="G38" s="41" t="n"/>
      <c r="H38" s="34" t="n"/>
      <c r="I38" s="36">
        <f>IF(AND(A38="",C38=""),"",IF(C38="Payment Received",I37-IFERROR(G38,0),IF(C38="Monthly Rent Charge",I37+IFERROR(E38,0)+IFERROR(F38,0),IFERROR(I37,0))))</f>
        <v/>
      </c>
      <c r="J38" s="37" t="n"/>
    </row>
    <row r="39" ht="15" customHeight="1" s="62">
      <c r="A39" s="54">
        <f>IF(B39="","",DATE(YEAR(TODAY()),MATCH(B39,{"January","February","March","April","May","June","July","August","September","October","November","December"},0),1))</f>
        <v/>
      </c>
      <c r="B39" s="33" t="n"/>
      <c r="C39" s="34">
        <f>IF(B39="","","Monthly Rent Charge")</f>
        <v/>
      </c>
      <c r="D39" s="34" t="n"/>
      <c r="E39" s="35">
        <f>IF(C39="Monthly Rent Charge",$D$3,"")</f>
        <v/>
      </c>
      <c r="F39" s="35">
        <f>IF(C39="Monthly Rent Charge",$F$3,"")</f>
        <v/>
      </c>
      <c r="G39" s="41" t="n"/>
      <c r="H39" s="34" t="n"/>
      <c r="I39" s="36">
        <f>IF(AND(A39="",C39=""),"",IF(C39="Payment Received",I38-IFERROR(G39,0),IF(C39="Monthly Rent Charge",I38+IFERROR(E39,0)+IFERROR(F39,0),IFERROR(I38,0))))</f>
        <v/>
      </c>
      <c r="J39" s="37" t="n"/>
    </row>
    <row r="40" ht="15" customHeight="1" s="62">
      <c r="A40" s="54">
        <f>IF(B40="","",DATE(YEAR(TODAY()),MATCH(B40,{"January","February","March","April","May","June","July","August","September","October","November","December"},0),1))</f>
        <v/>
      </c>
      <c r="B40" s="33" t="n"/>
      <c r="C40" s="34">
        <f>IF(B40="","","Monthly Rent Charge")</f>
        <v/>
      </c>
      <c r="D40" s="34" t="n"/>
      <c r="E40" s="35">
        <f>IF(C40="Monthly Rent Charge",$D$3,"")</f>
        <v/>
      </c>
      <c r="F40" s="35">
        <f>IF(C40="Monthly Rent Charge",$F$3,"")</f>
        <v/>
      </c>
      <c r="G40" s="41" t="n"/>
      <c r="H40" s="34" t="n"/>
      <c r="I40" s="36">
        <f>IF(AND(A40="",C40=""),"",IF(C40="Payment Received",I39-IFERROR(G40,0),IF(C40="Monthly Rent Charge",I39+IFERROR(E40,0)+IFERROR(F40,0),IFERROR(I39,0))))</f>
        <v/>
      </c>
      <c r="J40" s="37" t="n"/>
    </row>
    <row r="41" ht="15" customHeight="1" s="62">
      <c r="A41" s="54">
        <f>IF(B41="","",DATE(YEAR(TODAY()),MATCH(B41,{"January","February","March","April","May","June","July","August","September","October","November","December"},0),1))</f>
        <v/>
      </c>
      <c r="B41" s="33" t="n"/>
      <c r="C41" s="34">
        <f>IF(B41="","","Monthly Rent Charge")</f>
        <v/>
      </c>
      <c r="D41" s="34" t="n"/>
      <c r="E41" s="35">
        <f>IF(C41="Monthly Rent Charge",$D$3,"")</f>
        <v/>
      </c>
      <c r="F41" s="35">
        <f>IF(C41="Monthly Rent Charge",$F$3,"")</f>
        <v/>
      </c>
      <c r="G41" s="41" t="n"/>
      <c r="H41" s="34" t="n"/>
      <c r="I41" s="36">
        <f>IF(AND(A41="",C41=""),"",IF(C41="Payment Received",I40-IFERROR(G41,0),IF(C41="Monthly Rent Charge",I40+IFERROR(E41,0)+IFERROR(F41,0),IFERROR(I40,0))))</f>
        <v/>
      </c>
      <c r="J41" s="37" t="n"/>
    </row>
    <row r="42" ht="15" customHeight="1" s="62">
      <c r="A42" s="54" t="n"/>
      <c r="B42" s="33" t="n"/>
      <c r="C42" s="34" t="n"/>
      <c r="D42" s="34" t="n"/>
      <c r="E42" s="35" t="n"/>
      <c r="F42" s="35" t="n"/>
      <c r="G42" s="41" t="n"/>
      <c r="H42" s="34" t="n"/>
      <c r="I42" s="36" t="n"/>
      <c r="J42" s="37" t="n"/>
    </row>
    <row r="43" ht="15" customHeight="1" s="62">
      <c r="A43" s="54" t="n"/>
      <c r="B43" s="33" t="n"/>
      <c r="C43" s="34" t="n"/>
      <c r="D43" s="34" t="n"/>
      <c r="E43" s="35" t="n"/>
      <c r="F43" s="35" t="n"/>
      <c r="G43" s="41" t="n"/>
      <c r="H43" s="34" t="n"/>
      <c r="I43" s="36" t="n"/>
      <c r="J43" s="37" t="n"/>
    </row>
    <row r="44" ht="15" customHeight="1" s="62">
      <c r="A44" s="54" t="n"/>
      <c r="B44" s="33" t="n"/>
      <c r="C44" s="34" t="n"/>
      <c r="D44" s="34" t="n"/>
      <c r="E44" s="35" t="n"/>
      <c r="F44" s="35" t="n"/>
      <c r="G44" s="41" t="n"/>
      <c r="H44" s="34" t="n"/>
      <c r="I44" s="36" t="n"/>
      <c r="J44" s="37" t="n"/>
    </row>
    <row r="45" ht="15" customHeight="1" s="62">
      <c r="A45" s="54" t="n"/>
      <c r="B45" s="33" t="n"/>
      <c r="C45" s="34" t="n"/>
      <c r="D45" s="34" t="n"/>
      <c r="E45" s="35" t="n"/>
      <c r="F45" s="35" t="n"/>
      <c r="G45" s="41" t="n"/>
      <c r="H45" s="34" t="n"/>
      <c r="I45" s="36" t="n"/>
      <c r="J45" s="37" t="n"/>
    </row>
    <row r="46" ht="15" customHeight="1" s="62">
      <c r="A46" s="54" t="n"/>
      <c r="B46" s="33" t="n"/>
      <c r="C46" s="34" t="n"/>
      <c r="D46" s="34" t="n"/>
      <c r="E46" s="35" t="n"/>
      <c r="F46" s="35" t="n"/>
      <c r="G46" s="41" t="n"/>
      <c r="H46" s="34" t="n"/>
      <c r="I46" s="36" t="n"/>
      <c r="J46" s="37" t="n"/>
    </row>
    <row r="47" ht="15" customHeight="1" s="62">
      <c r="A47" s="54" t="n"/>
      <c r="B47" s="33" t="n"/>
      <c r="C47" s="34" t="n"/>
      <c r="D47" s="34" t="n"/>
      <c r="E47" s="35" t="n"/>
      <c r="F47" s="35" t="n"/>
      <c r="G47" s="41" t="n"/>
      <c r="H47" s="34" t="n"/>
      <c r="I47" s="36" t="n"/>
      <c r="J47" s="37" t="n"/>
    </row>
    <row r="48" ht="15" customHeight="1" s="62">
      <c r="A48" s="54" t="n"/>
      <c r="B48" s="33" t="n"/>
      <c r="C48" s="34" t="n"/>
      <c r="D48" s="34" t="n"/>
      <c r="E48" s="35" t="n"/>
      <c r="F48" s="35" t="n"/>
      <c r="G48" s="41" t="n"/>
      <c r="H48" s="34" t="n"/>
      <c r="I48" s="36" t="n"/>
      <c r="J48" s="37" t="n"/>
    </row>
    <row r="49" ht="15" customHeight="1" s="62">
      <c r="A49" s="54" t="n"/>
      <c r="B49" s="33" t="n"/>
      <c r="C49" s="34" t="n"/>
      <c r="D49" s="34" t="n"/>
      <c r="E49" s="35" t="n"/>
      <c r="F49" s="35" t="n"/>
      <c r="G49" s="41" t="n"/>
      <c r="H49" s="34" t="n"/>
      <c r="I49" s="36" t="n"/>
      <c r="J49" s="37" t="n"/>
    </row>
    <row r="50" ht="15" customHeight="1" s="62">
      <c r="A50" s="54" t="n"/>
      <c r="B50" s="33" t="n"/>
      <c r="C50" s="34" t="n"/>
      <c r="D50" s="34" t="n"/>
      <c r="E50" s="35" t="n"/>
      <c r="F50" s="35" t="n"/>
      <c r="G50" s="41" t="n"/>
      <c r="H50" s="34" t="n"/>
      <c r="I50" s="36" t="n"/>
      <c r="J50" s="37" t="n"/>
    </row>
    <row r="51" ht="15" customHeight="1" s="62">
      <c r="A51" s="54" t="n"/>
      <c r="B51" s="33" t="n"/>
      <c r="C51" s="34" t="n"/>
      <c r="D51" s="34" t="n"/>
      <c r="E51" s="35" t="n"/>
      <c r="F51" s="35" t="n"/>
      <c r="G51" s="41" t="n"/>
      <c r="H51" s="34" t="n"/>
      <c r="I51" s="36" t="n"/>
      <c r="J51" s="37" t="n"/>
    </row>
    <row r="52" ht="15" customHeight="1" s="62">
      <c r="A52" s="54" t="n"/>
      <c r="B52" s="33" t="n"/>
      <c r="C52" s="34" t="n"/>
      <c r="D52" s="34" t="n"/>
      <c r="E52" s="35" t="n"/>
      <c r="F52" s="35" t="n"/>
      <c r="G52" s="41" t="n"/>
      <c r="H52" s="34" t="n"/>
      <c r="I52" s="36" t="n"/>
      <c r="J52" s="37" t="n"/>
    </row>
    <row r="53" ht="15" customHeight="1" s="62">
      <c r="A53" s="54" t="n"/>
      <c r="B53" s="33" t="n"/>
      <c r="C53" s="34" t="n"/>
      <c r="D53" s="34" t="n"/>
      <c r="E53" s="35" t="n"/>
      <c r="F53" s="35" t="n"/>
      <c r="G53" s="41" t="n"/>
      <c r="H53" s="34" t="n"/>
      <c r="I53" s="36" t="n"/>
      <c r="J53" s="37" t="n"/>
    </row>
    <row r="54" ht="15" customHeight="1" s="62">
      <c r="A54" s="54" t="n"/>
      <c r="B54" s="33" t="n"/>
      <c r="C54" s="34" t="n"/>
      <c r="D54" s="34" t="n"/>
      <c r="E54" s="35" t="n"/>
      <c r="F54" s="35" t="n"/>
      <c r="G54" s="41" t="n"/>
      <c r="H54" s="34" t="n"/>
      <c r="I54" s="36" t="n"/>
      <c r="J54" s="37" t="n"/>
    </row>
    <row r="55" ht="15" customHeight="1" s="62">
      <c r="A55" s="54" t="n"/>
      <c r="B55" s="33" t="n"/>
      <c r="C55" s="34" t="n"/>
      <c r="D55" s="34" t="n"/>
      <c r="E55" s="35" t="n"/>
      <c r="F55" s="35" t="n"/>
      <c r="G55" s="41" t="n"/>
      <c r="H55" s="34" t="n"/>
      <c r="I55" s="36" t="n"/>
      <c r="J55" s="37" t="n"/>
    </row>
    <row r="56" ht="15" customHeight="1" s="62">
      <c r="A56" s="54" t="n"/>
      <c r="B56" s="33" t="n"/>
      <c r="C56" s="34" t="n"/>
      <c r="D56" s="34" t="n"/>
      <c r="E56" s="35" t="n"/>
      <c r="F56" s="35" t="n"/>
      <c r="G56" s="41" t="n"/>
      <c r="H56" s="34" t="n"/>
      <c r="I56" s="36" t="n"/>
      <c r="J56" s="37" t="n"/>
    </row>
    <row r="57" ht="15" customHeight="1" s="62">
      <c r="A57" s="54" t="n"/>
      <c r="B57" s="33" t="n"/>
      <c r="C57" s="34" t="n"/>
      <c r="D57" s="34" t="n"/>
      <c r="E57" s="35" t="n"/>
      <c r="F57" s="35" t="n"/>
      <c r="G57" s="41" t="n"/>
      <c r="H57" s="34" t="n"/>
      <c r="I57" s="36" t="n"/>
      <c r="J57" s="37" t="n"/>
    </row>
    <row r="58" ht="15" customHeight="1" s="62">
      <c r="A58" s="54" t="n"/>
      <c r="B58" s="33" t="n"/>
      <c r="C58" s="34" t="n"/>
      <c r="D58" s="34" t="n"/>
      <c r="E58" s="35" t="n"/>
      <c r="F58" s="35" t="n"/>
      <c r="G58" s="41" t="n"/>
      <c r="H58" s="34" t="n"/>
      <c r="I58" s="36" t="n"/>
      <c r="J58" s="37" t="n"/>
    </row>
    <row r="59" ht="15" customHeight="1" s="62">
      <c r="A59" s="54" t="n"/>
      <c r="B59" s="33" t="n"/>
      <c r="C59" s="34" t="n"/>
      <c r="D59" s="34" t="n"/>
      <c r="E59" s="35" t="n"/>
      <c r="F59" s="35" t="n"/>
      <c r="G59" s="41" t="n"/>
      <c r="H59" s="34" t="n"/>
      <c r="I59" s="36" t="n"/>
      <c r="J59" s="37" t="n"/>
    </row>
    <row r="60" ht="15" customHeight="1" s="62">
      <c r="A60" s="54" t="n"/>
      <c r="B60" s="33" t="n"/>
      <c r="C60" s="34" t="n"/>
      <c r="D60" s="34" t="n"/>
      <c r="E60" s="35" t="n"/>
      <c r="F60" s="35" t="n"/>
      <c r="G60" s="41" t="n"/>
      <c r="H60" s="34" t="n"/>
      <c r="I60" s="36" t="n"/>
      <c r="J60" s="37" t="n"/>
    </row>
    <row r="61" ht="15" customHeight="1" s="62">
      <c r="A61" s="54" t="n"/>
      <c r="B61" s="33" t="n"/>
      <c r="C61" s="34" t="n"/>
      <c r="D61" s="34" t="n"/>
      <c r="E61" s="35" t="n"/>
      <c r="F61" s="35" t="n"/>
      <c r="G61" s="41" t="n"/>
      <c r="H61" s="34" t="n"/>
      <c r="I61" s="36" t="n"/>
      <c r="J61" s="37" t="n"/>
    </row>
    <row r="62" ht="15" customHeight="1" s="62">
      <c r="A62" s="54" t="n"/>
      <c r="B62" s="33" t="n"/>
      <c r="C62" s="34" t="n"/>
      <c r="D62" s="34" t="n"/>
      <c r="E62" s="35" t="n"/>
      <c r="F62" s="35" t="n"/>
      <c r="G62" s="41" t="n"/>
      <c r="H62" s="34" t="n"/>
      <c r="I62" s="36" t="n"/>
      <c r="J62" s="37" t="n"/>
    </row>
    <row r="63" ht="15" customHeight="1" s="62">
      <c r="A63" s="54" t="n"/>
      <c r="B63" s="33" t="n"/>
      <c r="C63" s="34" t="n"/>
      <c r="D63" s="34" t="n"/>
      <c r="E63" s="35" t="n"/>
      <c r="F63" s="35" t="n"/>
      <c r="G63" s="41" t="n"/>
      <c r="H63" s="34" t="n"/>
      <c r="I63" s="36" t="n"/>
      <c r="J63" s="37" t="n"/>
    </row>
    <row r="64" ht="15" customHeight="1" s="62">
      <c r="A64" s="54" t="n"/>
      <c r="B64" s="33" t="n"/>
      <c r="C64" s="34" t="n"/>
      <c r="D64" s="34" t="n"/>
      <c r="E64" s="35" t="n"/>
      <c r="F64" s="35" t="n"/>
      <c r="G64" s="41" t="n"/>
      <c r="H64" s="34" t="n"/>
      <c r="I64" s="36" t="n"/>
      <c r="J64" s="37" t="n"/>
    </row>
    <row r="65" ht="15" customHeight="1" s="62">
      <c r="A65" s="54" t="n"/>
      <c r="B65" s="33" t="n"/>
      <c r="C65" s="34" t="n"/>
      <c r="D65" s="34" t="n"/>
      <c r="E65" s="35" t="n"/>
      <c r="F65" s="35" t="n"/>
      <c r="G65" s="41" t="n"/>
      <c r="H65" s="34" t="n"/>
      <c r="I65" s="36" t="n"/>
      <c r="J65" s="37" t="n"/>
    </row>
    <row r="66" ht="15" customHeight="1" s="62">
      <c r="A66" s="54" t="n"/>
      <c r="B66" s="33" t="n"/>
      <c r="C66" s="34" t="n"/>
      <c r="D66" s="34" t="n"/>
      <c r="E66" s="35" t="n"/>
      <c r="F66" s="35" t="n"/>
      <c r="G66" s="41" t="n"/>
      <c r="H66" s="34" t="n"/>
      <c r="I66" s="36" t="n"/>
      <c r="J66" s="37" t="n"/>
    </row>
    <row r="67" ht="15" customHeight="1" s="62">
      <c r="A67" s="54" t="n"/>
      <c r="B67" s="33" t="n"/>
      <c r="C67" s="34" t="n"/>
      <c r="D67" s="34" t="n"/>
      <c r="E67" s="35" t="n"/>
      <c r="F67" s="35" t="n"/>
      <c r="G67" s="41" t="n"/>
      <c r="H67" s="34" t="n"/>
      <c r="I67" s="36" t="n"/>
      <c r="J67" s="37" t="n"/>
    </row>
    <row r="68" ht="15" customHeight="1" s="62">
      <c r="A68" s="54" t="n"/>
      <c r="B68" s="33" t="n"/>
      <c r="C68" s="34" t="n"/>
      <c r="D68" s="34" t="n"/>
      <c r="E68" s="35" t="n"/>
      <c r="F68" s="35" t="n"/>
      <c r="G68" s="41" t="n"/>
      <c r="H68" s="34" t="n"/>
      <c r="I68" s="36" t="n"/>
      <c r="J68" s="37" t="n"/>
    </row>
    <row r="69" ht="15" customHeight="1" s="62">
      <c r="A69" s="54" t="n"/>
      <c r="B69" s="33" t="n"/>
      <c r="C69" s="34" t="n"/>
      <c r="D69" s="34" t="n"/>
      <c r="E69" s="35" t="n"/>
      <c r="F69" s="35" t="n"/>
      <c r="G69" s="41" t="n"/>
      <c r="H69" s="34" t="n"/>
      <c r="I69" s="36" t="n"/>
      <c r="J69" s="37" t="n"/>
    </row>
    <row r="70" ht="15" customHeight="1" s="62">
      <c r="A70" s="54" t="n"/>
      <c r="B70" s="33" t="n"/>
      <c r="C70" s="34" t="n"/>
      <c r="D70" s="34" t="n"/>
      <c r="E70" s="35" t="n"/>
      <c r="F70" s="35" t="n"/>
      <c r="G70" s="41" t="n"/>
      <c r="H70" s="34" t="n"/>
      <c r="I70" s="36" t="n"/>
      <c r="J70" s="37" t="n"/>
    </row>
    <row r="71" ht="15" customHeight="1" s="62">
      <c r="A71" s="54" t="n"/>
      <c r="B71" s="33" t="n"/>
      <c r="C71" s="34" t="n"/>
      <c r="D71" s="34" t="n"/>
      <c r="E71" s="35" t="n"/>
      <c r="F71" s="35" t="n"/>
      <c r="G71" s="41" t="n"/>
      <c r="H71" s="34" t="n"/>
      <c r="I71" s="36" t="n"/>
      <c r="J71" s="37" t="n"/>
    </row>
    <row r="72" ht="15" customHeight="1" s="62">
      <c r="A72" s="54" t="n"/>
      <c r="B72" s="33" t="n"/>
      <c r="C72" s="34" t="n"/>
      <c r="D72" s="34" t="n"/>
      <c r="E72" s="35" t="n"/>
      <c r="F72" s="35" t="n"/>
      <c r="G72" s="41" t="n"/>
      <c r="H72" s="34" t="n"/>
      <c r="I72" s="36" t="n"/>
      <c r="J72" s="37" t="n"/>
    </row>
    <row r="73" ht="15" customHeight="1" s="62">
      <c r="A73" s="54" t="n"/>
      <c r="B73" s="33" t="n"/>
      <c r="C73" s="34" t="n"/>
      <c r="D73" s="34" t="n"/>
      <c r="E73" s="35" t="n"/>
      <c r="F73" s="35" t="n"/>
      <c r="G73" s="41" t="n"/>
      <c r="H73" s="34" t="n"/>
      <c r="I73" s="36" t="n"/>
      <c r="J73" s="37" t="n"/>
    </row>
    <row r="74" ht="15" customHeight="1" s="62">
      <c r="A74" s="54" t="n"/>
      <c r="B74" s="33" t="n"/>
      <c r="C74" s="34" t="n"/>
      <c r="D74" s="34" t="n"/>
      <c r="E74" s="35" t="n"/>
      <c r="F74" s="35" t="n"/>
      <c r="G74" s="41" t="n"/>
      <c r="H74" s="34" t="n"/>
      <c r="I74" s="36" t="n"/>
      <c r="J74" s="37" t="n"/>
    </row>
    <row r="75" ht="15" customHeight="1" s="62">
      <c r="A75" s="54" t="n"/>
      <c r="B75" s="33" t="n"/>
      <c r="C75" s="34" t="n"/>
      <c r="D75" s="34" t="n"/>
      <c r="E75" s="35" t="n"/>
      <c r="F75" s="35" t="n"/>
      <c r="G75" s="41" t="n"/>
      <c r="H75" s="34" t="n"/>
      <c r="I75" s="36" t="n"/>
      <c r="J75" s="37" t="n"/>
    </row>
    <row r="76" ht="15" customHeight="1" s="62">
      <c r="A76" s="54" t="n"/>
      <c r="B76" s="33" t="n"/>
      <c r="C76" s="34" t="n"/>
      <c r="D76" s="34" t="n"/>
      <c r="E76" s="35" t="n"/>
      <c r="F76" s="35" t="n"/>
      <c r="G76" s="41" t="n"/>
      <c r="H76" s="34" t="n"/>
      <c r="I76" s="36" t="n"/>
      <c r="J76" s="37" t="n"/>
    </row>
    <row r="77" ht="15" customHeight="1" s="62">
      <c r="A77" s="54" t="n"/>
      <c r="B77" s="33" t="n"/>
      <c r="C77" s="34" t="n"/>
      <c r="D77" s="34" t="n"/>
      <c r="E77" s="35" t="n"/>
      <c r="F77" s="35" t="n"/>
      <c r="G77" s="41" t="n"/>
      <c r="H77" s="34" t="n"/>
      <c r="I77" s="36" t="n"/>
      <c r="J77" s="37" t="n"/>
    </row>
    <row r="78" ht="15" customHeight="1" s="62">
      <c r="A78" s="54" t="n"/>
      <c r="B78" s="33" t="n"/>
      <c r="C78" s="34" t="n"/>
      <c r="D78" s="34" t="n"/>
      <c r="E78" s="35" t="n"/>
      <c r="F78" s="35" t="n"/>
      <c r="G78" s="41" t="n"/>
      <c r="H78" s="34" t="n"/>
      <c r="I78" s="36" t="n"/>
      <c r="J78" s="37" t="n"/>
    </row>
    <row r="79" ht="15" customHeight="1" s="62">
      <c r="A79" s="54" t="n"/>
      <c r="B79" s="33" t="n"/>
      <c r="C79" s="34" t="n"/>
      <c r="D79" s="34" t="n"/>
      <c r="E79" s="35" t="n"/>
      <c r="F79" s="35" t="n"/>
      <c r="G79" s="41" t="n"/>
      <c r="H79" s="34" t="n"/>
      <c r="I79" s="36" t="n"/>
      <c r="J79" s="37" t="n"/>
    </row>
    <row r="80" ht="15" customHeight="1" s="62">
      <c r="A80" s="54" t="n"/>
      <c r="B80" s="33" t="n"/>
      <c r="C80" s="34" t="n"/>
      <c r="D80" s="34" t="n"/>
      <c r="E80" s="35" t="n"/>
      <c r="F80" s="35" t="n"/>
      <c r="G80" s="41" t="n"/>
      <c r="H80" s="34" t="n"/>
      <c r="I80" s="36" t="n"/>
      <c r="J80" s="37" t="n"/>
    </row>
    <row r="81" ht="15" customHeight="1" s="62">
      <c r="A81" s="54" t="n"/>
      <c r="B81" s="33" t="n"/>
      <c r="C81" s="34" t="n"/>
      <c r="D81" s="34" t="n"/>
      <c r="E81" s="35" t="n"/>
      <c r="F81" s="35" t="n"/>
      <c r="G81" s="41" t="n"/>
      <c r="H81" s="34" t="n"/>
      <c r="I81" s="36" t="n"/>
      <c r="J81" s="37" t="n"/>
    </row>
    <row r="82" ht="15" customHeight="1" s="62">
      <c r="A82" s="54" t="n"/>
      <c r="B82" s="33" t="n"/>
      <c r="C82" s="34" t="n"/>
      <c r="D82" s="34" t="n"/>
      <c r="E82" s="35" t="n"/>
      <c r="F82" s="35" t="n"/>
      <c r="G82" s="41" t="n"/>
      <c r="H82" s="34" t="n"/>
      <c r="I82" s="36" t="n"/>
      <c r="J82" s="37" t="n"/>
    </row>
    <row r="83" ht="15" customHeight="1" s="62">
      <c r="A83" s="54" t="n"/>
      <c r="B83" s="33" t="n"/>
      <c r="C83" s="34" t="n"/>
      <c r="D83" s="34" t="n"/>
      <c r="E83" s="35" t="n"/>
      <c r="F83" s="35" t="n"/>
      <c r="G83" s="41" t="n"/>
      <c r="H83" s="34" t="n"/>
      <c r="I83" s="36" t="n"/>
      <c r="J83" s="37" t="n"/>
    </row>
    <row r="84" ht="15" customHeight="1" s="62">
      <c r="A84" s="54" t="n"/>
      <c r="B84" s="33" t="n"/>
      <c r="C84" s="34" t="n"/>
      <c r="D84" s="34" t="n"/>
      <c r="E84" s="35" t="n"/>
      <c r="F84" s="35" t="n"/>
      <c r="G84" s="41" t="n"/>
      <c r="H84" s="34" t="n"/>
      <c r="I84" s="36" t="n"/>
      <c r="J84" s="37" t="n"/>
    </row>
    <row r="85" ht="15" customHeight="1" s="62">
      <c r="A85" s="54" t="n"/>
      <c r="B85" s="33" t="n"/>
      <c r="C85" s="34" t="n"/>
      <c r="D85" s="34" t="n"/>
      <c r="E85" s="35" t="n"/>
      <c r="F85" s="35" t="n"/>
      <c r="G85" s="41" t="n"/>
      <c r="H85" s="34" t="n"/>
      <c r="I85" s="36" t="n"/>
      <c r="J85" s="37" t="n"/>
    </row>
    <row r="86" ht="15" customHeight="1" s="62">
      <c r="A86" s="54" t="n"/>
      <c r="B86" s="33" t="n"/>
      <c r="C86" s="34" t="n"/>
      <c r="D86" s="34" t="n"/>
      <c r="E86" s="35" t="n"/>
      <c r="F86" s="35" t="n"/>
      <c r="G86" s="41" t="n"/>
      <c r="H86" s="34" t="n"/>
      <c r="I86" s="36" t="n"/>
      <c r="J86" s="37" t="n"/>
    </row>
    <row r="87" ht="15" customHeight="1" s="62">
      <c r="A87" s="54" t="n"/>
      <c r="B87" s="33" t="n"/>
      <c r="C87" s="34" t="n"/>
      <c r="D87" s="34" t="n"/>
      <c r="E87" s="35" t="n"/>
      <c r="F87" s="35" t="n"/>
      <c r="G87" s="41" t="n"/>
      <c r="H87" s="34" t="n"/>
      <c r="I87" s="36" t="n"/>
      <c r="J87" s="37" t="n"/>
    </row>
    <row r="88" ht="15" customHeight="1" s="62">
      <c r="A88" s="54" t="n"/>
      <c r="B88" s="33" t="n"/>
      <c r="C88" s="34" t="n"/>
      <c r="D88" s="34" t="n"/>
      <c r="E88" s="35" t="n"/>
      <c r="F88" s="35" t="n"/>
      <c r="G88" s="41" t="n"/>
      <c r="H88" s="34" t="n"/>
      <c r="I88" s="36" t="n"/>
      <c r="J88" s="37" t="n"/>
    </row>
    <row r="89" ht="15" customHeight="1" s="62">
      <c r="A89" s="54" t="n"/>
      <c r="B89" s="33" t="n"/>
      <c r="C89" s="34" t="n"/>
      <c r="D89" s="34" t="n"/>
      <c r="E89" s="35" t="n"/>
      <c r="F89" s="35" t="n"/>
      <c r="G89" s="41" t="n"/>
      <c r="H89" s="34" t="n"/>
      <c r="I89" s="36" t="n"/>
      <c r="J89" s="37" t="n"/>
    </row>
    <row r="90" ht="15" customHeight="1" s="62">
      <c r="A90" s="54" t="n"/>
      <c r="B90" s="33" t="n"/>
      <c r="C90" s="34" t="n"/>
      <c r="D90" s="34" t="n"/>
      <c r="E90" s="35" t="n"/>
      <c r="F90" s="35" t="n"/>
      <c r="G90" s="41" t="n"/>
      <c r="H90" s="34" t="n"/>
      <c r="I90" s="36" t="n"/>
      <c r="J90" s="37" t="n"/>
    </row>
    <row r="91" ht="15" customHeight="1" s="62">
      <c r="A91" s="54" t="n"/>
      <c r="B91" s="33" t="n"/>
      <c r="C91" s="34" t="n"/>
      <c r="D91" s="34" t="n"/>
      <c r="E91" s="35" t="n"/>
      <c r="F91" s="35" t="n"/>
      <c r="G91" s="41" t="n"/>
      <c r="H91" s="34" t="n"/>
      <c r="I91" s="36" t="n"/>
      <c r="J91" s="37" t="n"/>
    </row>
    <row r="92" ht="15" customHeight="1" s="62">
      <c r="A92" s="54" t="n"/>
      <c r="B92" s="33" t="n"/>
      <c r="C92" s="34" t="n"/>
      <c r="D92" s="34" t="n"/>
      <c r="E92" s="35" t="n"/>
      <c r="F92" s="35" t="n"/>
      <c r="G92" s="41" t="n"/>
      <c r="H92" s="34" t="n"/>
      <c r="I92" s="36" t="n"/>
      <c r="J92" s="37" t="n"/>
    </row>
    <row r="93" ht="15" customHeight="1" s="62">
      <c r="A93" s="54" t="n"/>
      <c r="B93" s="33" t="n"/>
      <c r="C93" s="34" t="n"/>
      <c r="D93" s="34" t="n"/>
      <c r="E93" s="35" t="n"/>
      <c r="F93" s="35" t="n"/>
      <c r="G93" s="41" t="n"/>
      <c r="H93" s="34" t="n"/>
      <c r="I93" s="36" t="n"/>
      <c r="J93" s="37" t="n"/>
    </row>
    <row r="94" ht="15" customHeight="1" s="62">
      <c r="A94" s="54" t="n"/>
      <c r="B94" s="33" t="n"/>
      <c r="C94" s="34" t="n"/>
      <c r="D94" s="34" t="n"/>
      <c r="E94" s="35" t="n"/>
      <c r="F94" s="35" t="n"/>
      <c r="G94" s="41" t="n"/>
      <c r="H94" s="34" t="n"/>
      <c r="I94" s="36" t="n"/>
      <c r="J94" s="37" t="n"/>
    </row>
    <row r="95" ht="15" customHeight="1" s="62">
      <c r="A95" s="54" t="n"/>
      <c r="B95" s="33" t="n"/>
      <c r="C95" s="34" t="n"/>
      <c r="D95" s="34" t="n"/>
      <c r="E95" s="35" t="n"/>
      <c r="F95" s="35" t="n"/>
      <c r="G95" s="41" t="n"/>
      <c r="H95" s="34" t="n"/>
      <c r="I95" s="36" t="n"/>
      <c r="J95" s="37" t="n"/>
    </row>
    <row r="96" ht="15" customHeight="1" s="62">
      <c r="A96" s="54" t="n"/>
      <c r="B96" s="33" t="n"/>
      <c r="C96" s="34" t="n"/>
      <c r="D96" s="34" t="n"/>
      <c r="E96" s="35" t="n"/>
      <c r="F96" s="35" t="n"/>
      <c r="G96" s="41" t="n"/>
      <c r="H96" s="34" t="n"/>
      <c r="I96" s="36" t="n"/>
      <c r="J96" s="37" t="n"/>
    </row>
    <row r="97" ht="15" customHeight="1" s="62">
      <c r="A97" s="54" t="n"/>
      <c r="B97" s="33" t="n"/>
      <c r="C97" s="34" t="n"/>
      <c r="D97" s="34" t="n"/>
      <c r="E97" s="35" t="n"/>
      <c r="F97" s="35" t="n"/>
      <c r="G97" s="41" t="n"/>
      <c r="H97" s="34" t="n"/>
      <c r="I97" s="36" t="n"/>
      <c r="J97" s="37" t="n"/>
    </row>
    <row r="98" ht="15" customHeight="1" s="62">
      <c r="A98" s="54" t="n"/>
      <c r="B98" s="33" t="n"/>
      <c r="C98" s="34" t="n"/>
      <c r="D98" s="34" t="n"/>
      <c r="E98" s="35" t="n"/>
      <c r="F98" s="35" t="n"/>
      <c r="G98" s="41" t="n"/>
      <c r="H98" s="34" t="n"/>
      <c r="I98" s="36" t="n"/>
      <c r="J98" s="37" t="n"/>
    </row>
    <row r="99" ht="15" customHeight="1" s="62">
      <c r="A99" s="54" t="n"/>
      <c r="B99" s="33" t="n"/>
      <c r="C99" s="34" t="n"/>
      <c r="D99" s="34" t="n"/>
      <c r="E99" s="35" t="n"/>
      <c r="F99" s="35" t="n"/>
      <c r="G99" s="41" t="n"/>
      <c r="H99" s="34" t="n"/>
      <c r="I99" s="36" t="n"/>
      <c r="J99" s="37" t="n"/>
    </row>
    <row r="100" ht="15" customHeight="1" s="62">
      <c r="A100" s="54" t="n"/>
      <c r="B100" s="33" t="n"/>
      <c r="C100" s="34" t="n"/>
      <c r="D100" s="34" t="n"/>
      <c r="E100" s="35" t="n"/>
      <c r="F100" s="35" t="n"/>
      <c r="G100" s="41" t="n"/>
      <c r="H100" s="34" t="n"/>
      <c r="I100" s="36" t="n"/>
      <c r="J100" s="37" t="n"/>
    </row>
    <row r="101" ht="15" customHeight="1" s="62">
      <c r="A101" s="54" t="n"/>
      <c r="B101" s="33" t="n"/>
      <c r="C101" s="34" t="n"/>
      <c r="D101" s="34" t="n"/>
      <c r="E101" s="35" t="n"/>
      <c r="F101" s="35" t="n"/>
      <c r="G101" s="41" t="n"/>
      <c r="H101" s="34" t="n"/>
      <c r="I101" s="36" t="n"/>
      <c r="J101" s="37" t="n"/>
    </row>
    <row r="102" ht="15" customHeight="1" s="62">
      <c r="A102" s="54" t="n"/>
      <c r="B102" s="33" t="n"/>
      <c r="C102" s="34" t="n"/>
      <c r="D102" s="34" t="n"/>
      <c r="E102" s="35" t="n"/>
      <c r="F102" s="35" t="n"/>
      <c r="G102" s="41" t="n"/>
      <c r="H102" s="34" t="n"/>
      <c r="I102" s="36" t="n"/>
      <c r="J102" s="37" t="n"/>
    </row>
    <row r="103" ht="15" customHeight="1" s="62">
      <c r="A103" s="54" t="n"/>
      <c r="B103" s="33" t="n"/>
      <c r="C103" s="34" t="n"/>
      <c r="D103" s="34" t="n"/>
      <c r="E103" s="35" t="n"/>
      <c r="F103" s="35" t="n"/>
      <c r="G103" s="41" t="n"/>
      <c r="H103" s="34" t="n"/>
      <c r="I103" s="36" t="n"/>
      <c r="J103" s="37" t="n"/>
    </row>
    <row r="104" ht="15" customHeight="1" s="62">
      <c r="A104" s="54" t="n"/>
      <c r="B104" s="33" t="n"/>
      <c r="C104" s="34" t="n"/>
      <c r="D104" s="34" t="n"/>
      <c r="E104" s="35" t="n"/>
      <c r="F104" s="35" t="n"/>
      <c r="G104" s="41" t="n"/>
      <c r="H104" s="34" t="n"/>
      <c r="I104" s="36" t="n"/>
      <c r="J104" s="37" t="n"/>
    </row>
    <row r="105" ht="15" customHeight="1" s="62">
      <c r="A105" s="54" t="n"/>
      <c r="B105" s="33" t="n"/>
      <c r="C105" s="34" t="n"/>
      <c r="D105" s="34" t="n"/>
      <c r="E105" s="35" t="n"/>
      <c r="F105" s="35" t="n"/>
      <c r="G105" s="41" t="n"/>
      <c r="H105" s="34" t="n"/>
      <c r="I105" s="36" t="n"/>
      <c r="J105" s="37" t="n"/>
    </row>
    <row r="106" ht="15" customHeight="1" s="62">
      <c r="A106" s="54" t="n"/>
      <c r="B106" s="33" t="n"/>
      <c r="C106" s="34" t="n"/>
      <c r="D106" s="34" t="n"/>
      <c r="E106" s="35" t="n"/>
      <c r="F106" s="35" t="n"/>
      <c r="G106" s="41" t="n"/>
      <c r="H106" s="34" t="n"/>
      <c r="I106" s="36" t="n"/>
      <c r="J106" s="37" t="n"/>
    </row>
    <row r="107" ht="15" customHeight="1" s="62">
      <c r="A107" s="54" t="n"/>
      <c r="B107" s="33" t="n"/>
      <c r="C107" s="34" t="n"/>
      <c r="D107" s="34" t="n"/>
      <c r="E107" s="35" t="n"/>
      <c r="F107" s="35" t="n"/>
      <c r="G107" s="41" t="n"/>
      <c r="H107" s="34" t="n"/>
      <c r="I107" s="36" t="n"/>
      <c r="J107" s="37" t="n"/>
    </row>
    <row r="108" ht="15" customHeight="1" s="62">
      <c r="A108" s="54" t="n"/>
      <c r="B108" s="33" t="n"/>
      <c r="C108" s="34" t="n"/>
      <c r="D108" s="34" t="n"/>
      <c r="E108" s="35" t="n"/>
      <c r="F108" s="35" t="n"/>
      <c r="G108" s="41" t="n"/>
      <c r="H108" s="34" t="n"/>
      <c r="I108" s="36" t="n"/>
      <c r="J108" s="37" t="n"/>
    </row>
    <row r="109" ht="15" customHeight="1" s="62">
      <c r="A109" s="54" t="n"/>
      <c r="B109" s="33" t="n"/>
      <c r="C109" s="34" t="n"/>
      <c r="D109" s="34" t="n"/>
      <c r="E109" s="35" t="n"/>
      <c r="F109" s="35" t="n"/>
      <c r="G109" s="41" t="n"/>
      <c r="H109" s="34" t="n"/>
      <c r="I109" s="36" t="n"/>
      <c r="J109" s="37" t="n"/>
    </row>
    <row r="110" ht="15" customHeight="1" s="62">
      <c r="A110" s="54" t="n"/>
      <c r="B110" s="33" t="n"/>
      <c r="C110" s="34" t="n"/>
      <c r="D110" s="34" t="n"/>
      <c r="E110" s="35" t="n"/>
      <c r="F110" s="35" t="n"/>
      <c r="G110" s="41" t="n"/>
      <c r="H110" s="34" t="n"/>
      <c r="I110" s="36" t="n"/>
      <c r="J110" s="37" t="n"/>
    </row>
    <row r="111" ht="15" customHeight="1" s="62">
      <c r="A111" s="54" t="n"/>
      <c r="B111" s="33" t="n"/>
      <c r="C111" s="34" t="n"/>
      <c r="D111" s="34" t="n"/>
      <c r="E111" s="35" t="n"/>
      <c r="F111" s="35" t="n"/>
      <c r="G111" s="41" t="n"/>
      <c r="H111" s="34" t="n"/>
      <c r="I111" s="36" t="n"/>
      <c r="J111" s="37" t="n"/>
    </row>
    <row r="112" ht="15" customHeight="1" s="62">
      <c r="A112" s="54" t="n"/>
      <c r="B112" s="33" t="n"/>
      <c r="C112" s="34" t="n"/>
      <c r="D112" s="34" t="n"/>
      <c r="E112" s="35" t="n"/>
      <c r="F112" s="35" t="n"/>
      <c r="G112" s="41" t="n"/>
      <c r="H112" s="34" t="n"/>
      <c r="I112" s="36" t="n"/>
      <c r="J112" s="37" t="n"/>
    </row>
    <row r="113" ht="15" customHeight="1" s="62">
      <c r="A113" s="54" t="n"/>
      <c r="B113" s="33" t="n"/>
      <c r="C113" s="34" t="n"/>
      <c r="D113" s="34" t="n"/>
      <c r="E113" s="35" t="n"/>
      <c r="F113" s="35" t="n"/>
      <c r="G113" s="41" t="n"/>
      <c r="H113" s="34" t="n"/>
      <c r="I113" s="36" t="n"/>
      <c r="J113" s="37" t="n"/>
    </row>
    <row r="114" ht="15" customHeight="1" s="62">
      <c r="A114" s="54" t="n"/>
      <c r="B114" s="33" t="n"/>
      <c r="C114" s="34" t="n"/>
      <c r="D114" s="34" t="n"/>
      <c r="E114" s="35" t="n"/>
      <c r="F114" s="35" t="n"/>
      <c r="G114" s="41" t="n"/>
      <c r="H114" s="34" t="n"/>
      <c r="I114" s="36" t="n"/>
      <c r="J114" s="37" t="n"/>
    </row>
    <row r="115" ht="15" customHeight="1" s="62">
      <c r="A115" s="54" t="n"/>
      <c r="B115" s="33" t="n"/>
      <c r="C115" s="34" t="n"/>
      <c r="D115" s="34" t="n"/>
      <c r="E115" s="35" t="n"/>
      <c r="F115" s="35" t="n"/>
      <c r="G115" s="41" t="n"/>
      <c r="H115" s="34" t="n"/>
      <c r="I115" s="36" t="n"/>
      <c r="J115" s="37" t="n"/>
    </row>
    <row r="116" ht="15" customHeight="1" s="62">
      <c r="A116" s="54" t="n"/>
      <c r="B116" s="33" t="n"/>
      <c r="C116" s="34" t="n"/>
      <c r="D116" s="34" t="n"/>
      <c r="E116" s="35" t="n"/>
      <c r="F116" s="35" t="n"/>
      <c r="G116" s="41" t="n"/>
      <c r="H116" s="34" t="n"/>
      <c r="I116" s="36" t="n"/>
      <c r="J116" s="37" t="n"/>
    </row>
    <row r="117" ht="15" customHeight="1" s="62">
      <c r="A117" s="54" t="n"/>
      <c r="B117" s="33" t="n"/>
      <c r="C117" s="34" t="n"/>
      <c r="D117" s="34" t="n"/>
      <c r="E117" s="35" t="n"/>
      <c r="F117" s="35" t="n"/>
      <c r="G117" s="41" t="n"/>
      <c r="H117" s="34" t="n"/>
      <c r="I117" s="36" t="n"/>
      <c r="J117" s="37" t="n"/>
    </row>
    <row r="118" ht="15" customHeight="1" s="62">
      <c r="A118" s="54" t="n"/>
      <c r="B118" s="33" t="n"/>
      <c r="C118" s="34" t="n"/>
      <c r="D118" s="34" t="n"/>
      <c r="E118" s="35" t="n"/>
      <c r="F118" s="35" t="n"/>
      <c r="G118" s="41" t="n"/>
      <c r="H118" s="34" t="n"/>
      <c r="I118" s="36" t="n"/>
      <c r="J118" s="37" t="n"/>
    </row>
    <row r="119" ht="15" customHeight="1" s="62">
      <c r="A119" s="54" t="n"/>
      <c r="B119" s="33" t="n"/>
      <c r="C119" s="34" t="n"/>
      <c r="D119" s="34" t="n"/>
      <c r="E119" s="35" t="n"/>
      <c r="F119" s="35" t="n"/>
      <c r="G119" s="41" t="n"/>
      <c r="H119" s="34" t="n"/>
      <c r="I119" s="36" t="n"/>
      <c r="J119" s="37" t="n"/>
    </row>
    <row r="120" ht="15" customHeight="1" s="62">
      <c r="A120" s="54" t="n"/>
      <c r="B120" s="33" t="n"/>
      <c r="C120" s="34" t="n"/>
      <c r="D120" s="34" t="n"/>
      <c r="E120" s="35" t="n"/>
      <c r="F120" s="35" t="n"/>
      <c r="G120" s="41" t="n"/>
      <c r="H120" s="34" t="n"/>
      <c r="I120" s="36" t="n"/>
      <c r="J120" s="37" t="n"/>
    </row>
    <row r="121" ht="15" customHeight="1" s="62">
      <c r="A121" s="54" t="n"/>
      <c r="B121" s="33" t="n"/>
      <c r="C121" s="34" t="n"/>
      <c r="D121" s="34" t="n"/>
      <c r="E121" s="35" t="n"/>
      <c r="F121" s="35" t="n"/>
      <c r="G121" s="41" t="n"/>
      <c r="H121" s="34" t="n"/>
      <c r="I121" s="36" t="n"/>
      <c r="J121" s="37" t="n"/>
    </row>
    <row r="122" ht="15" customHeight="1" s="62">
      <c r="A122" s="54" t="n"/>
      <c r="B122" s="33" t="n"/>
      <c r="C122" s="34" t="n"/>
      <c r="D122" s="34" t="n"/>
      <c r="E122" s="35" t="n"/>
      <c r="F122" s="35" t="n"/>
      <c r="G122" s="41" t="n"/>
      <c r="H122" s="34" t="n"/>
      <c r="I122" s="36" t="n"/>
      <c r="J122" s="37" t="n"/>
    </row>
    <row r="123" ht="15" customHeight="1" s="62">
      <c r="A123" s="54" t="n"/>
      <c r="B123" s="33" t="n"/>
      <c r="C123" s="34" t="n"/>
      <c r="D123" s="34" t="n"/>
      <c r="E123" s="35" t="n"/>
      <c r="F123" s="35" t="n"/>
      <c r="G123" s="41" t="n"/>
      <c r="H123" s="34" t="n"/>
      <c r="I123" s="36" t="n"/>
      <c r="J123" s="37" t="n"/>
    </row>
    <row r="124" ht="15" customHeight="1" s="62">
      <c r="A124" s="54" t="n"/>
      <c r="B124" s="33" t="n"/>
      <c r="C124" s="34" t="n"/>
      <c r="D124" s="34" t="n"/>
      <c r="E124" s="35" t="n"/>
      <c r="F124" s="35" t="n"/>
      <c r="G124" s="41" t="n"/>
      <c r="H124" s="34" t="n"/>
      <c r="I124" s="36" t="n"/>
      <c r="J124" s="37" t="n"/>
    </row>
    <row r="125" ht="15" customHeight="1" s="62">
      <c r="A125" s="54" t="n"/>
      <c r="B125" s="33" t="n"/>
      <c r="C125" s="34" t="n"/>
      <c r="D125" s="34" t="n"/>
      <c r="E125" s="35" t="n"/>
      <c r="F125" s="35" t="n"/>
      <c r="G125" s="41" t="n"/>
      <c r="H125" s="34" t="n"/>
      <c r="I125" s="36" t="n"/>
      <c r="J125" s="37" t="n"/>
    </row>
    <row r="126" ht="15" customHeight="1" s="62">
      <c r="A126" s="54" t="n"/>
      <c r="B126" s="33" t="n"/>
      <c r="C126" s="34" t="n"/>
      <c r="D126" s="34" t="n"/>
      <c r="E126" s="35" t="n"/>
      <c r="F126" s="35" t="n"/>
      <c r="G126" s="41" t="n"/>
      <c r="H126" s="34" t="n"/>
      <c r="I126" s="36" t="n"/>
      <c r="J126" s="37" t="n"/>
    </row>
    <row r="127" ht="15" customHeight="1" s="62">
      <c r="A127" s="54" t="n"/>
      <c r="B127" s="33" t="n"/>
      <c r="C127" s="34" t="n"/>
      <c r="D127" s="34" t="n"/>
      <c r="E127" s="35" t="n"/>
      <c r="F127" s="35" t="n"/>
      <c r="G127" s="41" t="n"/>
      <c r="H127" s="34" t="n"/>
      <c r="I127" s="36" t="n"/>
      <c r="J127" s="37" t="n"/>
    </row>
    <row r="128" ht="15" customHeight="1" s="62">
      <c r="A128" s="54" t="n"/>
      <c r="B128" s="33" t="n"/>
      <c r="C128" s="34" t="n"/>
      <c r="D128" s="34" t="n"/>
      <c r="E128" s="35" t="n"/>
      <c r="F128" s="35" t="n"/>
      <c r="G128" s="41" t="n"/>
      <c r="H128" s="34" t="n"/>
      <c r="I128" s="36" t="n"/>
      <c r="J128" s="37" t="n"/>
    </row>
    <row r="129" ht="15" customHeight="1" s="62">
      <c r="A129" s="54" t="n"/>
      <c r="B129" s="33" t="n"/>
      <c r="C129" s="34" t="n"/>
      <c r="D129" s="34" t="n"/>
      <c r="E129" s="35" t="n"/>
      <c r="F129" s="35" t="n"/>
      <c r="G129" s="41" t="n"/>
      <c r="H129" s="34" t="n"/>
      <c r="I129" s="36" t="n"/>
      <c r="J129" s="37" t="n"/>
    </row>
    <row r="130" ht="15" customHeight="1" s="62">
      <c r="A130" s="54" t="n"/>
      <c r="B130" s="33" t="n"/>
      <c r="C130" s="34" t="n"/>
      <c r="D130" s="34" t="n"/>
      <c r="E130" s="35" t="n"/>
      <c r="F130" s="35" t="n"/>
      <c r="G130" s="41" t="n"/>
      <c r="H130" s="34" t="n"/>
      <c r="I130" s="36" t="n"/>
      <c r="J130" s="37" t="n"/>
    </row>
    <row r="131" ht="15" customHeight="1" s="62">
      <c r="A131" s="54" t="n"/>
      <c r="B131" s="33" t="n"/>
      <c r="C131" s="34" t="n"/>
      <c r="D131" s="34" t="n"/>
      <c r="E131" s="35" t="n"/>
      <c r="F131" s="35" t="n"/>
      <c r="G131" s="41" t="n"/>
      <c r="H131" s="34" t="n"/>
      <c r="I131" s="36" t="n"/>
      <c r="J131" s="37" t="n"/>
    </row>
    <row r="132" ht="15" customHeight="1" s="62">
      <c r="A132" s="54" t="n"/>
      <c r="B132" s="33" t="n"/>
      <c r="C132" s="34" t="n"/>
      <c r="D132" s="34" t="n"/>
      <c r="E132" s="35" t="n"/>
      <c r="F132" s="35" t="n"/>
      <c r="G132" s="41" t="n"/>
      <c r="H132" s="34" t="n"/>
      <c r="I132" s="36" t="n"/>
      <c r="J132" s="37" t="n"/>
    </row>
    <row r="133" ht="15" customHeight="1" s="62">
      <c r="A133" s="54" t="n"/>
      <c r="B133" s="33" t="n"/>
      <c r="C133" s="34" t="n"/>
      <c r="D133" s="34" t="n"/>
      <c r="E133" s="35" t="n"/>
      <c r="F133" s="35" t="n"/>
      <c r="G133" s="41" t="n"/>
      <c r="H133" s="34" t="n"/>
      <c r="I133" s="36" t="n"/>
      <c r="J133" s="37" t="n"/>
    </row>
    <row r="134" ht="15" customHeight="1" s="62">
      <c r="A134" s="54" t="n"/>
      <c r="B134" s="33" t="n"/>
      <c r="C134" s="34" t="n"/>
      <c r="D134" s="34" t="n"/>
      <c r="E134" s="35" t="n"/>
      <c r="F134" s="35" t="n"/>
      <c r="G134" s="41" t="n"/>
      <c r="H134" s="34" t="n"/>
      <c r="I134" s="36" t="n"/>
      <c r="J134" s="37" t="n"/>
    </row>
    <row r="135" ht="15" customHeight="1" s="62">
      <c r="A135" s="54" t="n"/>
      <c r="B135" s="33" t="n"/>
      <c r="C135" s="34" t="n"/>
      <c r="D135" s="34" t="n"/>
      <c r="E135" s="35" t="n"/>
      <c r="F135" s="35" t="n"/>
      <c r="G135" s="41" t="n"/>
      <c r="H135" s="34" t="n"/>
      <c r="I135" s="36" t="n"/>
      <c r="J135" s="37" t="n"/>
    </row>
    <row r="136" ht="15" customHeight="1" s="62">
      <c r="A136" s="54" t="n"/>
      <c r="B136" s="33" t="n"/>
      <c r="C136" s="34" t="n"/>
      <c r="D136" s="34" t="n"/>
      <c r="E136" s="35" t="n"/>
      <c r="F136" s="35" t="n"/>
      <c r="G136" s="41" t="n"/>
      <c r="H136" s="34" t="n"/>
      <c r="I136" s="36" t="n"/>
      <c r="J136" s="37" t="n"/>
    </row>
    <row r="137" ht="15" customHeight="1" s="62">
      <c r="A137" s="54" t="n"/>
      <c r="B137" s="33" t="n"/>
      <c r="C137" s="34" t="n"/>
      <c r="D137" s="34" t="n"/>
      <c r="E137" s="35" t="n"/>
      <c r="F137" s="35" t="n"/>
      <c r="G137" s="41" t="n"/>
      <c r="H137" s="34" t="n"/>
      <c r="I137" s="36" t="n"/>
      <c r="J137" s="37" t="n"/>
    </row>
    <row r="138" ht="15" customHeight="1" s="62">
      <c r="A138" s="54" t="n"/>
      <c r="B138" s="33" t="n"/>
      <c r="C138" s="34" t="n"/>
      <c r="D138" s="34" t="n"/>
      <c r="E138" s="35" t="n"/>
      <c r="F138" s="35" t="n"/>
      <c r="G138" s="41" t="n"/>
      <c r="H138" s="34" t="n"/>
      <c r="I138" s="36" t="n"/>
      <c r="J138" s="37" t="n"/>
    </row>
    <row r="139" ht="15" customHeight="1" s="62">
      <c r="A139" s="54" t="n"/>
      <c r="B139" s="33" t="n"/>
      <c r="C139" s="34" t="n"/>
      <c r="D139" s="34" t="n"/>
      <c r="E139" s="35" t="n"/>
      <c r="F139" s="35" t="n"/>
      <c r="G139" s="41" t="n"/>
      <c r="H139" s="34" t="n"/>
      <c r="I139" s="36" t="n"/>
      <c r="J139" s="37" t="n"/>
    </row>
    <row r="140" ht="15" customHeight="1" s="62">
      <c r="A140" s="54" t="n"/>
      <c r="B140" s="33" t="n"/>
      <c r="C140" s="34" t="n"/>
      <c r="D140" s="34" t="n"/>
      <c r="E140" s="35" t="n"/>
      <c r="F140" s="35" t="n"/>
      <c r="G140" s="41" t="n"/>
      <c r="H140" s="34" t="n"/>
      <c r="I140" s="36" t="n"/>
      <c r="J140" s="37" t="n"/>
    </row>
    <row r="141" ht="15" customHeight="1" s="62">
      <c r="A141" s="54" t="n"/>
      <c r="B141" s="33" t="n"/>
      <c r="C141" s="34" t="n"/>
      <c r="D141" s="34" t="n"/>
      <c r="E141" s="35" t="n"/>
      <c r="F141" s="35" t="n"/>
      <c r="G141" s="41" t="n"/>
      <c r="H141" s="34" t="n"/>
      <c r="I141" s="36" t="n"/>
      <c r="J141" s="37" t="n"/>
    </row>
    <row r="142" ht="15" customHeight="1" s="62">
      <c r="A142" s="54" t="n"/>
      <c r="B142" s="33" t="n"/>
      <c r="C142" s="34" t="n"/>
      <c r="D142" s="34" t="n"/>
      <c r="E142" s="35" t="n"/>
      <c r="F142" s="35" t="n"/>
      <c r="G142" s="41" t="n"/>
      <c r="H142" s="34" t="n"/>
      <c r="I142" s="36" t="n"/>
      <c r="J142" s="37" t="n"/>
    </row>
    <row r="143" ht="15" customHeight="1" s="62">
      <c r="A143" s="54" t="n"/>
      <c r="B143" s="33" t="n"/>
      <c r="C143" s="34" t="n"/>
      <c r="D143" s="34" t="n"/>
      <c r="E143" s="35" t="n"/>
      <c r="F143" s="35" t="n"/>
      <c r="G143" s="41" t="n"/>
      <c r="H143" s="34" t="n"/>
      <c r="I143" s="36" t="n"/>
      <c r="J143" s="37" t="n"/>
    </row>
    <row r="144" ht="15" customHeight="1" s="62">
      <c r="A144" s="54" t="n"/>
      <c r="B144" s="33" t="n"/>
      <c r="C144" s="34" t="n"/>
      <c r="D144" s="34" t="n"/>
      <c r="E144" s="35" t="n"/>
      <c r="F144" s="35" t="n"/>
      <c r="G144" s="41" t="n"/>
      <c r="H144" s="34" t="n"/>
      <c r="I144" s="36" t="n"/>
      <c r="J144" s="37" t="n"/>
    </row>
    <row r="145" ht="15" customHeight="1" s="62">
      <c r="A145" s="54" t="n"/>
      <c r="B145" s="33" t="n"/>
      <c r="C145" s="34" t="n"/>
      <c r="D145" s="34" t="n"/>
      <c r="E145" s="35" t="n"/>
      <c r="F145" s="35" t="n"/>
      <c r="G145" s="41" t="n"/>
      <c r="H145" s="34" t="n"/>
      <c r="I145" s="36" t="n"/>
      <c r="J145" s="37" t="n"/>
    </row>
    <row r="146" ht="15" customHeight="1" s="62">
      <c r="A146" s="54" t="n"/>
      <c r="B146" s="33" t="n"/>
      <c r="C146" s="34" t="n"/>
      <c r="D146" s="34" t="n"/>
      <c r="E146" s="35" t="n"/>
      <c r="F146" s="35" t="n"/>
      <c r="G146" s="41" t="n"/>
      <c r="H146" s="34" t="n"/>
      <c r="I146" s="36" t="n"/>
      <c r="J146" s="37" t="n"/>
    </row>
    <row r="147" ht="15" customHeight="1" s="62">
      <c r="A147" s="54" t="n"/>
      <c r="B147" s="33" t="n"/>
      <c r="C147" s="34" t="n"/>
      <c r="D147" s="34" t="n"/>
      <c r="E147" s="35" t="n"/>
      <c r="F147" s="35" t="n"/>
      <c r="G147" s="41" t="n"/>
      <c r="H147" s="34" t="n"/>
      <c r="I147" s="36" t="n"/>
      <c r="J147" s="37" t="n"/>
    </row>
    <row r="148" ht="15" customHeight="1" s="62">
      <c r="A148" s="54" t="n"/>
      <c r="B148" s="33" t="n"/>
      <c r="C148" s="34" t="n"/>
      <c r="D148" s="34" t="n"/>
      <c r="E148" s="35" t="n"/>
      <c r="F148" s="35" t="n"/>
      <c r="G148" s="41" t="n"/>
      <c r="H148" s="34" t="n"/>
      <c r="I148" s="36" t="n"/>
      <c r="J148" s="37" t="n"/>
    </row>
    <row r="149" ht="15" customHeight="1" s="62">
      <c r="A149" s="54" t="n"/>
      <c r="B149" s="33" t="n"/>
      <c r="C149" s="34" t="n"/>
      <c r="D149" s="34" t="n"/>
      <c r="E149" s="35" t="n"/>
      <c r="F149" s="35" t="n"/>
      <c r="G149" s="41" t="n"/>
      <c r="H149" s="34" t="n"/>
      <c r="I149" s="36" t="n"/>
      <c r="J149" s="37" t="n"/>
    </row>
    <row r="150" ht="15" customHeight="1" s="62">
      <c r="A150" s="54" t="n"/>
      <c r="B150" s="33" t="n"/>
      <c r="C150" s="34" t="n"/>
      <c r="D150" s="34" t="n"/>
      <c r="E150" s="35" t="n"/>
      <c r="F150" s="35" t="n"/>
      <c r="G150" s="41" t="n"/>
      <c r="H150" s="34" t="n"/>
      <c r="I150" s="36" t="n"/>
      <c r="J150" s="37" t="n"/>
    </row>
    <row r="151" ht="15" customHeight="1" s="62">
      <c r="A151" s="54" t="n"/>
      <c r="B151" s="33" t="n"/>
      <c r="C151" s="34" t="n"/>
      <c r="D151" s="34" t="n"/>
      <c r="E151" s="35" t="n"/>
      <c r="F151" s="35" t="n"/>
      <c r="G151" s="41" t="n"/>
      <c r="H151" s="34" t="n"/>
      <c r="I151" s="36" t="n"/>
      <c r="J151" s="37" t="n"/>
    </row>
    <row r="152" ht="15" customHeight="1" s="62">
      <c r="A152" s="54" t="n"/>
      <c r="B152" s="33" t="n"/>
      <c r="C152" s="34" t="n"/>
      <c r="D152" s="34" t="n"/>
      <c r="E152" s="35" t="n"/>
      <c r="F152" s="35" t="n"/>
      <c r="G152" s="41" t="n"/>
      <c r="H152" s="34" t="n"/>
      <c r="I152" s="36" t="n"/>
      <c r="J152" s="37" t="n"/>
    </row>
    <row r="153" ht="15" customHeight="1" s="62">
      <c r="A153" s="54" t="n"/>
      <c r="B153" s="33" t="n"/>
      <c r="C153" s="34" t="n"/>
      <c r="D153" s="34" t="n"/>
      <c r="E153" s="35" t="n"/>
      <c r="F153" s="35" t="n"/>
      <c r="G153" s="41" t="n"/>
      <c r="H153" s="34" t="n"/>
      <c r="I153" s="36" t="n"/>
      <c r="J153" s="37" t="n"/>
    </row>
    <row r="154" ht="15" customHeight="1" s="62">
      <c r="A154" s="54" t="n"/>
      <c r="B154" s="33" t="n"/>
      <c r="C154" s="34" t="n"/>
      <c r="D154" s="34" t="n"/>
      <c r="E154" s="35" t="n"/>
      <c r="F154" s="35" t="n"/>
      <c r="G154" s="41" t="n"/>
      <c r="H154" s="34" t="n"/>
      <c r="I154" s="36" t="n"/>
      <c r="J154" s="37" t="n"/>
    </row>
    <row r="155" ht="15" customHeight="1" s="62">
      <c r="A155" s="54" t="n"/>
      <c r="B155" s="33" t="n"/>
      <c r="C155" s="34" t="n"/>
      <c r="D155" s="34" t="n"/>
      <c r="E155" s="35" t="n"/>
      <c r="F155" s="35" t="n"/>
      <c r="G155" s="41" t="n"/>
      <c r="H155" s="34" t="n"/>
      <c r="I155" s="36" t="n"/>
      <c r="J155" s="37" t="n"/>
    </row>
    <row r="156" ht="15" customHeight="1" s="62">
      <c r="A156" s="54" t="n"/>
      <c r="B156" s="33" t="n"/>
      <c r="C156" s="34" t="n"/>
      <c r="D156" s="34" t="n"/>
      <c r="E156" s="35" t="n"/>
      <c r="F156" s="35" t="n"/>
      <c r="G156" s="41" t="n"/>
      <c r="H156" s="34" t="n"/>
      <c r="I156" s="36" t="n"/>
      <c r="J156" s="37" t="n"/>
    </row>
    <row r="157" ht="15" customHeight="1" s="62">
      <c r="A157" s="54" t="n"/>
      <c r="B157" s="33" t="n"/>
      <c r="C157" s="34" t="n"/>
      <c r="D157" s="34" t="n"/>
      <c r="E157" s="35" t="n"/>
      <c r="F157" s="35" t="n"/>
      <c r="G157" s="41" t="n"/>
      <c r="H157" s="34" t="n"/>
      <c r="I157" s="36" t="n"/>
      <c r="J157" s="37" t="n"/>
    </row>
    <row r="158" ht="15" customHeight="1" s="62">
      <c r="A158" s="54" t="n"/>
      <c r="B158" s="33" t="n"/>
      <c r="C158" s="34" t="n"/>
      <c r="D158" s="34" t="n"/>
      <c r="E158" s="35" t="n"/>
      <c r="F158" s="35" t="n"/>
      <c r="G158" s="41" t="n"/>
      <c r="H158" s="34" t="n"/>
      <c r="I158" s="36" t="n"/>
      <c r="J158" s="37" t="n"/>
    </row>
    <row r="159" ht="15" customHeight="1" s="62">
      <c r="A159" s="54" t="n"/>
      <c r="B159" s="33" t="n"/>
      <c r="C159" s="34" t="n"/>
      <c r="D159" s="34" t="n"/>
      <c r="E159" s="35" t="n"/>
      <c r="F159" s="35" t="n"/>
      <c r="G159" s="41" t="n"/>
      <c r="H159" s="34" t="n"/>
      <c r="I159" s="36" t="n"/>
      <c r="J159" s="37" t="n"/>
    </row>
    <row r="160" ht="15" customHeight="1" s="62">
      <c r="A160" s="54" t="n"/>
      <c r="B160" s="33" t="n"/>
      <c r="C160" s="34" t="n"/>
      <c r="D160" s="34" t="n"/>
      <c r="E160" s="35" t="n"/>
      <c r="F160" s="35" t="n"/>
      <c r="G160" s="41" t="n"/>
      <c r="H160" s="34" t="n"/>
      <c r="I160" s="36" t="n"/>
      <c r="J160" s="37" t="n"/>
    </row>
    <row r="161" ht="15" customHeight="1" s="62">
      <c r="A161" s="54" t="n"/>
      <c r="B161" s="33" t="n"/>
      <c r="C161" s="34" t="n"/>
      <c r="D161" s="34" t="n"/>
      <c r="E161" s="35" t="n"/>
      <c r="F161" s="35" t="n"/>
      <c r="G161" s="41" t="n"/>
      <c r="H161" s="34" t="n"/>
      <c r="I161" s="36" t="n"/>
      <c r="J161" s="37" t="n"/>
    </row>
    <row r="162" ht="15" customHeight="1" s="62">
      <c r="A162" s="54" t="n"/>
      <c r="B162" s="33" t="n"/>
      <c r="C162" s="34" t="n"/>
      <c r="D162" s="34" t="n"/>
      <c r="E162" s="35" t="n"/>
      <c r="F162" s="35" t="n"/>
      <c r="G162" s="41" t="n"/>
      <c r="H162" s="34" t="n"/>
      <c r="I162" s="36" t="n"/>
      <c r="J162" s="37" t="n"/>
    </row>
    <row r="163" ht="15" customHeight="1" s="62">
      <c r="A163" s="54" t="n"/>
      <c r="B163" s="33" t="n"/>
      <c r="C163" s="34" t="n"/>
      <c r="D163" s="34" t="n"/>
      <c r="E163" s="35" t="n"/>
      <c r="F163" s="35" t="n"/>
      <c r="G163" s="41" t="n"/>
      <c r="H163" s="34" t="n"/>
      <c r="I163" s="36" t="n"/>
      <c r="J163" s="37" t="n"/>
    </row>
    <row r="164" ht="15" customHeight="1" s="62">
      <c r="A164" s="54" t="n"/>
      <c r="B164" s="33" t="n"/>
      <c r="C164" s="34" t="n"/>
      <c r="D164" s="34" t="n"/>
      <c r="E164" s="35" t="n"/>
      <c r="F164" s="35" t="n"/>
      <c r="G164" s="41" t="n"/>
      <c r="H164" s="34" t="n"/>
      <c r="I164" s="36" t="n"/>
      <c r="J164" s="37" t="n"/>
    </row>
    <row r="165" ht="15" customHeight="1" s="62">
      <c r="A165" s="54" t="n"/>
      <c r="B165" s="33" t="n"/>
      <c r="C165" s="34" t="n"/>
      <c r="D165" s="34" t="n"/>
      <c r="E165" s="35" t="n"/>
      <c r="F165" s="35" t="n"/>
      <c r="G165" s="41" t="n"/>
      <c r="H165" s="34" t="n"/>
      <c r="I165" s="36" t="n"/>
      <c r="J165" s="37" t="n"/>
    </row>
    <row r="166" ht="15" customHeight="1" s="62">
      <c r="A166" s="54" t="n"/>
      <c r="B166" s="33" t="n"/>
      <c r="C166" s="34" t="n"/>
      <c r="D166" s="34" t="n"/>
      <c r="E166" s="35" t="n"/>
      <c r="F166" s="35" t="n"/>
      <c r="G166" s="41" t="n"/>
      <c r="H166" s="34" t="n"/>
      <c r="I166" s="36" t="n"/>
      <c r="J166" s="37" t="n"/>
    </row>
    <row r="167" ht="15" customHeight="1" s="62">
      <c r="A167" s="54" t="n"/>
      <c r="B167" s="33" t="n"/>
      <c r="C167" s="34" t="n"/>
      <c r="D167" s="34" t="n"/>
      <c r="E167" s="35" t="n"/>
      <c r="F167" s="35" t="n"/>
      <c r="G167" s="41" t="n"/>
      <c r="H167" s="34" t="n"/>
      <c r="I167" s="36" t="n"/>
      <c r="J167" s="37" t="n"/>
    </row>
    <row r="168" ht="15" customHeight="1" s="62">
      <c r="A168" s="54" t="n"/>
      <c r="B168" s="33" t="n"/>
      <c r="C168" s="34" t="n"/>
      <c r="D168" s="34" t="n"/>
      <c r="E168" s="35" t="n"/>
      <c r="F168" s="35" t="n"/>
      <c r="G168" s="41" t="n"/>
      <c r="H168" s="34" t="n"/>
      <c r="I168" s="36" t="n"/>
      <c r="J168" s="37" t="n"/>
    </row>
    <row r="169" ht="15" customHeight="1" s="62">
      <c r="A169" s="54" t="n"/>
      <c r="B169" s="33" t="n"/>
      <c r="C169" s="34" t="n"/>
      <c r="D169" s="34" t="n"/>
      <c r="E169" s="35" t="n"/>
      <c r="F169" s="35" t="n"/>
      <c r="G169" s="41" t="n"/>
      <c r="H169" s="34" t="n"/>
      <c r="I169" s="36" t="n"/>
      <c r="J169" s="37" t="n"/>
    </row>
    <row r="170" ht="15" customHeight="1" s="62">
      <c r="A170" s="54" t="n"/>
      <c r="B170" s="33" t="n"/>
      <c r="C170" s="34" t="n"/>
      <c r="D170" s="34" t="n"/>
      <c r="E170" s="35" t="n"/>
      <c r="F170" s="35" t="n"/>
      <c r="G170" s="41" t="n"/>
      <c r="H170" s="34" t="n"/>
      <c r="I170" s="36" t="n"/>
      <c r="J170" s="37" t="n"/>
    </row>
    <row r="171" ht="15" customHeight="1" s="62">
      <c r="A171" s="54" t="n"/>
      <c r="B171" s="33" t="n"/>
      <c r="C171" s="34" t="n"/>
      <c r="D171" s="34" t="n"/>
      <c r="E171" s="35" t="n"/>
      <c r="F171" s="35" t="n"/>
      <c r="G171" s="41" t="n"/>
      <c r="H171" s="34" t="n"/>
      <c r="I171" s="36" t="n"/>
      <c r="J171" s="37" t="n"/>
    </row>
    <row r="172" ht="15" customHeight="1" s="62">
      <c r="A172" s="54" t="n"/>
      <c r="B172" s="33" t="n"/>
      <c r="C172" s="34" t="n"/>
      <c r="D172" s="34" t="n"/>
      <c r="E172" s="35" t="n"/>
      <c r="F172" s="35" t="n"/>
      <c r="G172" s="41" t="n"/>
      <c r="H172" s="34" t="n"/>
      <c r="I172" s="36" t="n"/>
      <c r="J172" s="37" t="n"/>
    </row>
    <row r="173" ht="15" customHeight="1" s="62">
      <c r="A173" s="54" t="n"/>
      <c r="B173" s="33" t="n"/>
      <c r="C173" s="34" t="n"/>
      <c r="D173" s="34" t="n"/>
      <c r="E173" s="35" t="n"/>
      <c r="F173" s="35" t="n"/>
      <c r="G173" s="41" t="n"/>
      <c r="H173" s="34" t="n"/>
      <c r="I173" s="36" t="n"/>
      <c r="J173" s="37" t="n"/>
    </row>
    <row r="174" ht="15" customHeight="1" s="62">
      <c r="A174" s="54" t="n"/>
      <c r="B174" s="33" t="n"/>
      <c r="C174" s="34" t="n"/>
      <c r="D174" s="34" t="n"/>
      <c r="E174" s="35" t="n"/>
      <c r="F174" s="35" t="n"/>
      <c r="G174" s="41" t="n"/>
      <c r="H174" s="34" t="n"/>
      <c r="I174" s="36" t="n"/>
      <c r="J174" s="37" t="n"/>
    </row>
    <row r="175" ht="15" customHeight="1" s="62">
      <c r="A175" s="54" t="n"/>
      <c r="B175" s="33" t="n"/>
      <c r="C175" s="34" t="n"/>
      <c r="D175" s="34" t="n"/>
      <c r="E175" s="35" t="n"/>
      <c r="F175" s="35" t="n"/>
      <c r="G175" s="41" t="n"/>
      <c r="H175" s="34" t="n"/>
      <c r="I175" s="36" t="n"/>
      <c r="J175" s="37" t="n"/>
    </row>
    <row r="176" ht="15" customHeight="1" s="62">
      <c r="A176" s="54" t="n"/>
      <c r="B176" s="33" t="n"/>
      <c r="C176" s="34" t="n"/>
      <c r="D176" s="34" t="n"/>
      <c r="E176" s="35" t="n"/>
      <c r="F176" s="35" t="n"/>
      <c r="G176" s="41" t="n"/>
      <c r="H176" s="34" t="n"/>
      <c r="I176" s="36" t="n"/>
      <c r="J176" s="37" t="n"/>
    </row>
    <row r="177" ht="15" customHeight="1" s="62">
      <c r="A177" s="54" t="n"/>
      <c r="B177" s="33" t="n"/>
      <c r="C177" s="34" t="n"/>
      <c r="D177" s="34" t="n"/>
      <c r="E177" s="35" t="n"/>
      <c r="F177" s="35" t="n"/>
      <c r="G177" s="41" t="n"/>
      <c r="H177" s="34" t="n"/>
      <c r="I177" s="36" t="n"/>
      <c r="J177" s="37" t="n"/>
    </row>
    <row r="178" ht="15" customHeight="1" s="62">
      <c r="A178" s="54" t="n"/>
      <c r="B178" s="33" t="n"/>
      <c r="C178" s="34" t="n"/>
      <c r="D178" s="34" t="n"/>
      <c r="E178" s="35" t="n"/>
      <c r="F178" s="35" t="n"/>
      <c r="G178" s="41" t="n"/>
      <c r="H178" s="34" t="n"/>
      <c r="I178" s="36" t="n"/>
      <c r="J178" s="37" t="n"/>
    </row>
    <row r="179" ht="15" customHeight="1" s="62">
      <c r="A179" s="54" t="n"/>
      <c r="B179" s="33" t="n"/>
      <c r="C179" s="34" t="n"/>
      <c r="D179" s="34" t="n"/>
      <c r="E179" s="35" t="n"/>
      <c r="F179" s="35" t="n"/>
      <c r="G179" s="41" t="n"/>
      <c r="H179" s="34" t="n"/>
      <c r="I179" s="36" t="n"/>
      <c r="J179" s="37" t="n"/>
    </row>
    <row r="180" ht="15" customHeight="1" s="62">
      <c r="A180" s="54" t="n"/>
      <c r="B180" s="33" t="n"/>
      <c r="C180" s="34" t="n"/>
      <c r="D180" s="34" t="n"/>
      <c r="E180" s="35" t="n"/>
      <c r="F180" s="35" t="n"/>
      <c r="G180" s="41" t="n"/>
      <c r="H180" s="34" t="n"/>
      <c r="I180" s="36" t="n"/>
      <c r="J180" s="37" t="n"/>
    </row>
    <row r="181" ht="15" customHeight="1" s="62">
      <c r="A181" s="54" t="n"/>
      <c r="B181" s="33" t="n"/>
      <c r="C181" s="34" t="n"/>
      <c r="D181" s="34" t="n"/>
      <c r="E181" s="35" t="n"/>
      <c r="F181" s="35" t="n"/>
      <c r="G181" s="41" t="n"/>
      <c r="H181" s="34" t="n"/>
      <c r="I181" s="36" t="n"/>
      <c r="J181" s="37" t="n"/>
    </row>
    <row r="182" ht="15" customHeight="1" s="62">
      <c r="A182" s="54" t="n"/>
      <c r="B182" s="33" t="n"/>
      <c r="C182" s="34" t="n"/>
      <c r="D182" s="34" t="n"/>
      <c r="E182" s="35" t="n"/>
      <c r="F182" s="35" t="n"/>
      <c r="G182" s="41" t="n"/>
      <c r="H182" s="34" t="n"/>
      <c r="I182" s="36" t="n"/>
      <c r="J182" s="37" t="n"/>
    </row>
    <row r="183" ht="15" customHeight="1" s="62">
      <c r="A183" s="54" t="n"/>
      <c r="B183" s="33" t="n"/>
      <c r="C183" s="34" t="n"/>
      <c r="D183" s="34" t="n"/>
      <c r="E183" s="35" t="n"/>
      <c r="F183" s="35" t="n"/>
      <c r="G183" s="41" t="n"/>
      <c r="H183" s="34" t="n"/>
      <c r="I183" s="36" t="n"/>
      <c r="J183" s="37" t="n"/>
    </row>
    <row r="184" ht="15" customHeight="1" s="62">
      <c r="A184" s="54" t="n"/>
      <c r="B184" s="33" t="n"/>
      <c r="C184" s="34" t="n"/>
      <c r="D184" s="34" t="n"/>
      <c r="E184" s="35" t="n"/>
      <c r="F184" s="35" t="n"/>
      <c r="G184" s="41" t="n"/>
      <c r="H184" s="34" t="n"/>
      <c r="I184" s="36" t="n"/>
      <c r="J184" s="37" t="n"/>
    </row>
    <row r="185" ht="15" customHeight="1" s="62">
      <c r="A185" s="54" t="n"/>
      <c r="B185" s="33" t="n"/>
      <c r="C185" s="34" t="n"/>
      <c r="D185" s="34" t="n"/>
      <c r="E185" s="35" t="n"/>
      <c r="F185" s="35" t="n"/>
      <c r="G185" s="41" t="n"/>
      <c r="H185" s="34" t="n"/>
      <c r="I185" s="36" t="n"/>
      <c r="J185" s="37" t="n"/>
    </row>
    <row r="186" ht="15" customHeight="1" s="62">
      <c r="A186" s="54" t="n"/>
      <c r="B186" s="33" t="n"/>
      <c r="C186" s="34" t="n"/>
      <c r="D186" s="34" t="n"/>
      <c r="E186" s="35" t="n"/>
      <c r="F186" s="35" t="n"/>
      <c r="G186" s="41" t="n"/>
      <c r="H186" s="34" t="n"/>
      <c r="I186" s="36" t="n"/>
      <c r="J186" s="37" t="n"/>
    </row>
    <row r="187" ht="15" customHeight="1" s="62">
      <c r="A187" s="54" t="n"/>
      <c r="B187" s="33" t="n"/>
      <c r="C187" s="34" t="n"/>
      <c r="D187" s="34" t="n"/>
      <c r="E187" s="35" t="n"/>
      <c r="F187" s="35" t="n"/>
      <c r="G187" s="41" t="n"/>
      <c r="H187" s="34" t="n"/>
      <c r="I187" s="36" t="n"/>
      <c r="J187" s="37" t="n"/>
    </row>
    <row r="188" ht="15" customHeight="1" s="62">
      <c r="A188" s="54" t="n"/>
      <c r="B188" s="33" t="n"/>
      <c r="C188" s="34" t="n"/>
      <c r="D188" s="34" t="n"/>
      <c r="E188" s="35" t="n"/>
      <c r="F188" s="35" t="n"/>
      <c r="G188" s="41" t="n"/>
      <c r="H188" s="34" t="n"/>
      <c r="I188" s="36" t="n"/>
      <c r="J188" s="37" t="n"/>
    </row>
    <row r="189" ht="15" customHeight="1" s="62">
      <c r="A189" s="54" t="n"/>
      <c r="B189" s="33" t="n"/>
      <c r="C189" s="34" t="n"/>
      <c r="D189" s="34" t="n"/>
      <c r="E189" s="35" t="n"/>
      <c r="F189" s="35" t="n"/>
      <c r="G189" s="41" t="n"/>
      <c r="H189" s="34" t="n"/>
      <c r="I189" s="36" t="n"/>
      <c r="J189" s="37" t="n"/>
    </row>
    <row r="190" ht="15" customHeight="1" s="62">
      <c r="A190" s="54" t="n"/>
      <c r="B190" s="33" t="n"/>
      <c r="C190" s="34" t="n"/>
      <c r="D190" s="34" t="n"/>
      <c r="E190" s="35" t="n"/>
      <c r="F190" s="35" t="n"/>
      <c r="G190" s="41" t="n"/>
      <c r="H190" s="34" t="n"/>
      <c r="I190" s="36" t="n"/>
      <c r="J190" s="37" t="n"/>
    </row>
    <row r="191" ht="15" customHeight="1" s="62">
      <c r="A191" s="54" t="n"/>
      <c r="B191" s="33" t="n"/>
      <c r="C191" s="34" t="n"/>
      <c r="D191" s="34" t="n"/>
      <c r="E191" s="35" t="n"/>
      <c r="F191" s="35" t="n"/>
      <c r="G191" s="41" t="n"/>
      <c r="H191" s="34" t="n"/>
      <c r="I191" s="36" t="n"/>
      <c r="J191" s="37" t="n"/>
    </row>
    <row r="192" ht="15" customHeight="1" s="62">
      <c r="A192" s="54" t="n"/>
      <c r="B192" s="33" t="n"/>
      <c r="C192" s="34" t="n"/>
      <c r="D192" s="34" t="n"/>
      <c r="E192" s="35" t="n"/>
      <c r="F192" s="35" t="n"/>
      <c r="G192" s="41" t="n"/>
      <c r="H192" s="34" t="n"/>
      <c r="I192" s="36" t="n"/>
      <c r="J192" s="37" t="n"/>
    </row>
    <row r="193" ht="15" customHeight="1" s="62">
      <c r="A193" s="54" t="n"/>
      <c r="B193" s="33" t="n"/>
      <c r="C193" s="34" t="n"/>
      <c r="D193" s="34" t="n"/>
      <c r="E193" s="35" t="n"/>
      <c r="F193" s="35" t="n"/>
      <c r="G193" s="41" t="n"/>
      <c r="H193" s="34" t="n"/>
      <c r="I193" s="36" t="n"/>
      <c r="J193" s="37" t="n"/>
    </row>
    <row r="194" ht="15" customHeight="1" s="62">
      <c r="A194" s="54" t="n"/>
      <c r="B194" s="33" t="n"/>
      <c r="C194" s="34" t="n"/>
      <c r="D194" s="34" t="n"/>
      <c r="E194" s="35" t="n"/>
      <c r="F194" s="35" t="n"/>
      <c r="G194" s="41" t="n"/>
      <c r="H194" s="34" t="n"/>
      <c r="I194" s="36" t="n"/>
      <c r="J194" s="37" t="n"/>
    </row>
    <row r="195" ht="15" customHeight="1" s="62">
      <c r="A195" s="54" t="n"/>
      <c r="B195" s="33" t="n"/>
      <c r="C195" s="34" t="n"/>
      <c r="D195" s="34" t="n"/>
      <c r="E195" s="35" t="n"/>
      <c r="F195" s="35" t="n"/>
      <c r="G195" s="41" t="n"/>
      <c r="H195" s="34" t="n"/>
      <c r="I195" s="36" t="n"/>
      <c r="J195" s="37" t="n"/>
    </row>
    <row r="196" ht="15" customHeight="1" s="62">
      <c r="A196" s="54" t="n"/>
      <c r="B196" s="33" t="n"/>
      <c r="C196" s="34" t="n"/>
      <c r="D196" s="34" t="n"/>
      <c r="E196" s="35" t="n"/>
      <c r="F196" s="35" t="n"/>
      <c r="G196" s="41" t="n"/>
      <c r="H196" s="34" t="n"/>
      <c r="I196" s="36" t="n"/>
      <c r="J196" s="37" t="n"/>
    </row>
    <row r="197" ht="15" customHeight="1" s="62">
      <c r="A197" s="54" t="n"/>
      <c r="B197" s="33" t="n"/>
      <c r="C197" s="34" t="n"/>
      <c r="D197" s="34" t="n"/>
      <c r="E197" s="35" t="n"/>
      <c r="F197" s="35" t="n"/>
      <c r="G197" s="41" t="n"/>
      <c r="H197" s="34" t="n"/>
      <c r="I197" s="36" t="n"/>
      <c r="J197" s="37" t="n"/>
    </row>
    <row r="198" ht="15" customHeight="1" s="62">
      <c r="A198" s="54" t="n"/>
      <c r="B198" s="33" t="n"/>
      <c r="C198" s="34" t="n"/>
      <c r="D198" s="34" t="n"/>
      <c r="E198" s="35" t="n"/>
      <c r="F198" s="35" t="n"/>
      <c r="G198" s="41" t="n"/>
      <c r="H198" s="34" t="n"/>
      <c r="I198" s="36" t="n"/>
      <c r="J198" s="37" t="n"/>
    </row>
    <row r="199" ht="15" customHeight="1" s="62">
      <c r="A199" s="54" t="n"/>
      <c r="B199" s="33" t="n"/>
      <c r="C199" s="34" t="n"/>
      <c r="D199" s="34" t="n"/>
      <c r="E199" s="35" t="n"/>
      <c r="F199" s="35" t="n"/>
      <c r="G199" s="41" t="n"/>
      <c r="H199" s="34" t="n"/>
      <c r="I199" s="36" t="n"/>
      <c r="J199" s="37" t="n"/>
    </row>
    <row r="200" ht="15" customHeight="1" s="62">
      <c r="A200" s="54" t="n"/>
      <c r="B200" s="33" t="n"/>
      <c r="C200" s="34" t="n"/>
      <c r="D200" s="34" t="n"/>
      <c r="E200" s="35" t="n"/>
      <c r="F200" s="35" t="n"/>
      <c r="G200" s="41" t="n"/>
      <c r="H200" s="34" t="n"/>
      <c r="I200" s="36" t="n"/>
      <c r="J200" s="37" t="n"/>
    </row>
    <row r="201" ht="15" customHeight="1" s="62">
      <c r="A201" s="54" t="n"/>
      <c r="B201" s="33" t="n"/>
      <c r="C201" s="34" t="n"/>
      <c r="D201" s="34" t="n"/>
      <c r="E201" s="35" t="n"/>
      <c r="F201" s="35" t="n"/>
      <c r="G201" s="41" t="n"/>
      <c r="H201" s="34" t="n"/>
      <c r="I201" s="36" t="n"/>
      <c r="J201" s="37" t="n"/>
    </row>
    <row r="202" ht="15" customHeight="1" s="62">
      <c r="A202" s="54" t="n"/>
      <c r="B202" s="33" t="n"/>
      <c r="C202" s="34" t="n"/>
      <c r="D202" s="34" t="n"/>
      <c r="E202" s="35" t="n"/>
      <c r="F202" s="35" t="n"/>
      <c r="G202" s="41" t="n"/>
      <c r="H202" s="34" t="n"/>
      <c r="I202" s="36" t="n"/>
      <c r="J202" s="37" t="n"/>
    </row>
    <row r="203" ht="15" customHeight="1" s="62">
      <c r="A203" s="54" t="n"/>
      <c r="B203" s="33" t="n"/>
      <c r="C203" s="34" t="n"/>
      <c r="D203" s="34" t="n"/>
      <c r="E203" s="35" t="n"/>
      <c r="F203" s="35" t="n"/>
      <c r="G203" s="41" t="n"/>
      <c r="H203" s="34" t="n"/>
      <c r="I203" s="36" t="n"/>
      <c r="J203" s="37" t="n"/>
    </row>
    <row r="204" ht="15" customHeight="1" s="62">
      <c r="A204" s="54" t="n"/>
      <c r="B204" s="33" t="n"/>
      <c r="C204" s="34" t="n"/>
      <c r="D204" s="34" t="n"/>
      <c r="E204" s="35" t="n"/>
      <c r="F204" s="35" t="n"/>
      <c r="G204" s="41" t="n"/>
      <c r="H204" s="34" t="n"/>
      <c r="I204" s="36" t="n"/>
      <c r="J204" s="37" t="n"/>
    </row>
    <row r="205" ht="15" customHeight="1" s="62">
      <c r="A205" s="54" t="n"/>
      <c r="B205" s="33" t="n"/>
      <c r="C205" s="34" t="n"/>
      <c r="D205" s="34" t="n"/>
      <c r="E205" s="35" t="n"/>
      <c r="F205" s="35" t="n"/>
      <c r="G205" s="41" t="n"/>
      <c r="H205" s="34" t="n"/>
      <c r="I205" s="36" t="n"/>
      <c r="J205" s="37" t="n"/>
    </row>
    <row r="206" ht="15" customHeight="1" s="62">
      <c r="A206" s="54" t="n"/>
      <c r="B206" s="33" t="n"/>
      <c r="C206" s="34" t="n"/>
      <c r="D206" s="34" t="n"/>
      <c r="E206" s="35" t="n"/>
      <c r="F206" s="35" t="n"/>
      <c r="G206" s="41" t="n"/>
      <c r="H206" s="34" t="n"/>
      <c r="I206" s="36" t="n"/>
      <c r="J206" s="37" t="n"/>
    </row>
  </sheetData>
  <mergeCells count="3">
    <mergeCell ref="A1:J1"/>
    <mergeCell ref="A4:J4"/>
    <mergeCell ref="A2:J2"/>
  </mergeCells>
  <conditionalFormatting sqref="A6:H101">
    <cfRule type="expression" priority="9" dxfId="1">
      <formula>$C6="Monthly Rent Charge"</formula>
    </cfRule>
    <cfRule type="expression" priority="11" dxfId="0">
      <formula>$C6="Payment Received"</formula>
    </cfRule>
  </conditionalFormatting>
  <conditionalFormatting sqref="H3">
    <cfRule type="cellIs" priority="16" operator="lessThan" dxfId="3">
      <formula>0</formula>
    </cfRule>
    <cfRule type="cellIs" priority="17" operator="equal" dxfId="3">
      <formula>0</formula>
    </cfRule>
    <cfRule type="cellIs" priority="18" operator="greaterThan" dxfId="2">
      <formula>0</formula>
    </cfRule>
  </conditionalFormatting>
  <conditionalFormatting sqref="I6:I101">
    <cfRule type="cellIs" priority="13" operator="lessThan" dxfId="3">
      <formula>0</formula>
    </cfRule>
    <cfRule type="cellIs" priority="14" operator="equal" dxfId="3">
      <formula>0</formula>
    </cfRule>
    <cfRule type="cellIs" priority="15" operator="greaterThan" dxfId="2">
      <formula>0</formula>
    </cfRule>
  </conditionalFormatting>
  <conditionalFormatting sqref="J6:J101">
    <cfRule type="expression" priority="10" dxfId="1">
      <formula>$C6="Monthly Rent Charge"</formula>
    </cfRule>
    <cfRule type="expression" priority="12" dxfId="0">
      <formula>$C6="Payment Received"</formula>
    </cfRule>
  </conditionalFormatting>
  <dataValidations count="3">
    <dataValidation sqref="B6:B41" showDropDown="0" showInputMessage="0" showErrorMessage="0" allowBlank="1" type="list">
      <formula1>"January,February,March,April,May,June,July,August,September,October,November,December"</formula1>
      <formula2>0</formula2>
    </dataValidation>
    <dataValidation sqref="C6:C41" showDropDown="0" showInputMessage="0" showErrorMessage="0" allowBlank="1" type="list">
      <formula1>"Monthly Rent Charge,Payment Received"</formula1>
      <formula2>0</formula2>
    </dataValidation>
    <dataValidation sqref="A6:A206" showDropDown="0" showInputMessage="1" showErrorMessage="1" allowBlank="1" errorTitle="Invalid date" error="Please enter a valid date." promptTitle="Select a date" prompt="Use the date picker or enter a valid payment date here." type="date">
      <formula1>DATE(2000,1,1)</formula1>
      <formula2>DATE(2100,12,31)</formula2>
    </dataValidation>
  </dataValidations>
  <pageMargins left="0.25" right="0.25" top="0.75" bottom="0.75" header="0.3" footer="0.3"/>
  <pageSetup orientation="portrait" paperSize="9" scale="48" fitToHeight="0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05"/>
  <sheetViews>
    <sheetView zoomScaleNormal="100" workbookViewId="0">
      <selection activeCell="J30" sqref="J30"/>
    </sheetView>
  </sheetViews>
  <sheetFormatPr baseColWidth="8" defaultColWidth="8.6640625" defaultRowHeight="14.4"/>
  <cols>
    <col width="14" customWidth="1" style="62" min="1" max="1"/>
    <col width="24" customWidth="1" style="62" min="3" max="3"/>
    <col width="13.33203125" customWidth="1" style="62" min="4" max="4"/>
    <col width="15" customWidth="1" style="62" min="5" max="5"/>
    <col width="17" customWidth="1" style="62" min="6" max="6"/>
    <col width="18" customWidth="1" style="62" min="7" max="7"/>
    <col width="22" customWidth="1" style="62" min="8" max="8"/>
    <col width="17" customWidth="1" style="62" min="9" max="9"/>
    <col width="30" customWidth="1" style="62" min="10" max="10"/>
    <col width="12" customWidth="1" style="62" min="11" max="11"/>
    <col width="10" customWidth="1" style="62" min="12" max="12"/>
  </cols>
  <sheetData>
    <row r="1" ht="19.5" customHeight="1" s="62">
      <c r="A1" s="74" t="inlineStr">
        <is>
          <t>Unit Shop 2 — Tenant Statement / Ledger</t>
        </is>
      </c>
    </row>
    <row r="2" ht="27.75" customHeight="1" s="62">
      <c r="A2" s="76" t="inlineStr">
        <is>
          <t>Select a month to create a Monthly Rent Charge: the date fills as the first day of that month (current year) and description fills automatically. For a payment, leave Month blank and choose Payment Received.</t>
        </is>
      </c>
    </row>
    <row r="3" ht="15" customHeight="1" s="62">
      <c r="A3" s="25" t="inlineStr">
        <is>
          <t>Unit</t>
        </is>
      </c>
      <c r="B3" s="25" t="inlineStr">
        <is>
          <t>Shop 2</t>
        </is>
      </c>
      <c r="C3" s="25" t="inlineStr">
        <is>
          <t>Current Rent</t>
        </is>
      </c>
      <c r="D3" s="26" t="n">
        <v>10000</v>
      </c>
      <c r="E3" s="26" t="inlineStr">
        <is>
          <t>Garbage</t>
        </is>
      </c>
      <c r="F3" s="26" t="n">
        <v>0</v>
      </c>
      <c r="G3" s="25" t="inlineStr">
        <is>
          <t>Current Balance</t>
        </is>
      </c>
      <c r="H3" s="27">
        <f>IFERROR(LOOKUP(9.99E+307,I6:I41),0)</f>
        <v/>
      </c>
      <c r="I3" s="25" t="inlineStr">
        <is>
          <t>Tenant</t>
        </is>
      </c>
      <c r="J3" s="28" t="inlineStr">
        <is>
          <t>Mary Macharia</t>
        </is>
      </c>
      <c r="K3" s="29" t="inlineStr">
        <is>
          <t>Deposit Held</t>
        </is>
      </c>
      <c r="L3" s="30" t="n">
        <v>10000</v>
      </c>
    </row>
    <row r="4">
      <c r="A4" s="75" t="inlineStr">
        <is>
          <t>Current tenant only. When vacating → copy rows to Archive sheet, then clear this ledger.</t>
        </is>
      </c>
    </row>
    <row r="5" ht="15" customHeight="1" s="62">
      <c r="A5" s="31" t="inlineStr">
        <is>
          <t>Date</t>
        </is>
      </c>
      <c r="B5" s="31" t="inlineStr">
        <is>
          <t>Month</t>
        </is>
      </c>
      <c r="C5" s="31" t="inlineStr">
        <is>
          <t>Description</t>
        </is>
      </c>
      <c r="D5" s="31" t="inlineStr">
        <is>
          <t>Tenant</t>
        </is>
      </c>
      <c r="E5" s="31" t="inlineStr">
        <is>
          <t>Rent Charged</t>
        </is>
      </c>
      <c r="F5" s="31" t="inlineStr">
        <is>
          <t>Garbage Charged</t>
        </is>
      </c>
      <c r="G5" s="31" t="inlineStr">
        <is>
          <t>Payment Received</t>
        </is>
      </c>
      <c r="H5" s="31" t="inlineStr">
        <is>
          <t>M-Pesa Reference</t>
        </is>
      </c>
      <c r="I5" s="31" t="inlineStr">
        <is>
          <t>Running Balance</t>
        </is>
      </c>
      <c r="J5" s="31" t="inlineStr">
        <is>
          <t>Remarks</t>
        </is>
      </c>
    </row>
    <row r="6" ht="15" customHeight="1" s="62">
      <c r="A6" s="54" t="n">
        <v>45931</v>
      </c>
      <c r="B6" s="33" t="inlineStr">
        <is>
          <t>October</t>
        </is>
      </c>
      <c r="C6" s="34">
        <f>IF(B6="","","Monthly Rent Charge")</f>
        <v/>
      </c>
      <c r="D6" s="34" t="n"/>
      <c r="E6" s="35" t="n">
        <v>15000</v>
      </c>
      <c r="F6" s="35">
        <f>IF(C6="Monthly Rent Charge",$F$3,"")</f>
        <v/>
      </c>
      <c r="G6" s="41" t="n"/>
      <c r="H6" s="34" t="n"/>
      <c r="I6" s="36">
        <f>IF(A6="","",IF(C6="Payment Received",-IFERROR(G6,0),IF(C6="Monthly Rent Charge",IFERROR(E6,0)+IFERROR(F6,0),0)))</f>
        <v/>
      </c>
      <c r="J6" s="37" t="inlineStr">
        <is>
          <t>5,000 For Deposit</t>
        </is>
      </c>
    </row>
    <row r="7" ht="15" customHeight="1" s="62">
      <c r="A7" s="53" t="n">
        <v>45931</v>
      </c>
      <c r="B7" s="33" t="n"/>
      <c r="C7" s="34" t="inlineStr">
        <is>
          <t>Payment Received</t>
        </is>
      </c>
      <c r="D7" s="34" t="n"/>
      <c r="E7" s="35">
        <f>IF(C7="Monthly Rent Charge",$D$3,"")</f>
        <v/>
      </c>
      <c r="F7" s="35">
        <f>IF(C7="Monthly Rent Charge",$F$3,"")</f>
        <v/>
      </c>
      <c r="G7" s="41" t="n">
        <v>15000</v>
      </c>
      <c r="H7" s="39" t="inlineStr">
        <is>
          <t>TJ1QX67JDX</t>
        </is>
      </c>
      <c r="I7" s="36">
        <f>IF(A7="","",IF(C7="Payment Received",I6-IFERROR(G7,0),IF(C7="Monthly Rent Charge",I6+IFERROR(E7,0)+IFERROR(F7,0),I6)))</f>
        <v/>
      </c>
      <c r="J7" s="37" t="n"/>
    </row>
    <row r="8" ht="15" customHeight="1" s="62">
      <c r="A8" s="54" t="n">
        <v>45962</v>
      </c>
      <c r="B8" s="33" t="inlineStr">
        <is>
          <t>November</t>
        </is>
      </c>
      <c r="C8" s="34">
        <f>IF(B8="","","Monthly Rent Charge")</f>
        <v/>
      </c>
      <c r="D8" s="34" t="n"/>
      <c r="E8" s="35">
        <f>IF(C8="Monthly Rent Charge",$D$3,"")</f>
        <v/>
      </c>
      <c r="F8" s="35">
        <f>IF(C8="Monthly Rent Charge",$F$3,"")</f>
        <v/>
      </c>
      <c r="G8" s="41" t="n"/>
      <c r="H8" s="34" t="n"/>
      <c r="I8" s="36">
        <f>IF(A8="","",IF(C8="Payment Received",I7-IFERROR(G8,0),IF(C8="Monthly Rent Charge",I7+IFERROR(E8,0)+IFERROR(F8,0),I7)))</f>
        <v/>
      </c>
      <c r="J8" s="37" t="n"/>
    </row>
    <row r="9" ht="15" customHeight="1" s="62">
      <c r="A9" s="53" t="n">
        <v>45964</v>
      </c>
      <c r="B9" s="33" t="n"/>
      <c r="C9" s="34" t="inlineStr">
        <is>
          <t>Payment Received</t>
        </is>
      </c>
      <c r="D9" s="34" t="n"/>
      <c r="E9" s="35">
        <f>IF(C9="Monthly Rent Charge",$D$3,"")</f>
        <v/>
      </c>
      <c r="F9" s="35">
        <f>IF(C9="Monthly Rent Charge",$F$3,"")</f>
        <v/>
      </c>
      <c r="G9" s="41" t="n">
        <v>10000</v>
      </c>
      <c r="H9" s="39" t="inlineStr">
        <is>
          <t>TK3QX965S0</t>
        </is>
      </c>
      <c r="I9" s="36">
        <f>IF(A9="","",IF(C9="Payment Received",I8-IFERROR(G9,0),IF(C9="Monthly Rent Charge",I8+IFERROR(E9,0)+IFERROR(F9,0),I8)))</f>
        <v/>
      </c>
      <c r="J9" s="37" t="n"/>
    </row>
    <row r="10" ht="15" customHeight="1" s="62">
      <c r="A10" s="54" t="n">
        <v>45992</v>
      </c>
      <c r="B10" s="33" t="inlineStr">
        <is>
          <t>December</t>
        </is>
      </c>
      <c r="C10" s="34">
        <f>IF(B10="","","Monthly Rent Charge")</f>
        <v/>
      </c>
      <c r="D10" s="34" t="n"/>
      <c r="E10" s="35">
        <f>IF(C10="Monthly Rent Charge",$D$3,"")</f>
        <v/>
      </c>
      <c r="F10" s="35">
        <f>IF(C10="Monthly Rent Charge",$F$3,"")</f>
        <v/>
      </c>
      <c r="G10" s="41" t="n"/>
      <c r="H10" s="34" t="n"/>
      <c r="I10" s="36">
        <f>IF(A10="","",IF(C10="Payment Received",I9-IFERROR(G10,0),IF(C10="Monthly Rent Charge",I9+IFERROR(E10,0)+IFERROR(F10,0),I9)))</f>
        <v/>
      </c>
      <c r="J10" s="37" t="n"/>
    </row>
    <row r="11" ht="15" customHeight="1" s="62">
      <c r="A11" s="53" t="n">
        <v>45995</v>
      </c>
      <c r="B11" s="33" t="n"/>
      <c r="C11" s="34" t="inlineStr">
        <is>
          <t>Payment Received</t>
        </is>
      </c>
      <c r="D11" s="34" t="n"/>
      <c r="E11" s="35">
        <f>IF(C11="Monthly Rent Charge",$D$3,"")</f>
        <v/>
      </c>
      <c r="F11" s="35">
        <f>IF(C11="Monthly Rent Charge",$F$3,"")</f>
        <v/>
      </c>
      <c r="G11" s="41" t="n">
        <v>10000</v>
      </c>
      <c r="H11" s="39" t="inlineStr">
        <is>
          <t>TL4QX04BIY</t>
        </is>
      </c>
      <c r="I11" s="36">
        <f>IF(A11="","",IF(C11="Payment Received",I10-IFERROR(G11,0),IF(C11="Monthly Rent Charge",I10+IFERROR(E11,0)+IFERROR(F11,0),I10)))</f>
        <v/>
      </c>
      <c r="J11" s="37" t="n"/>
    </row>
    <row r="12" ht="15" customHeight="1" s="62">
      <c r="A12" s="54">
        <f>IF(B12="","",DATE(YEAR(TODAY()),MATCH(B12,{"January","February","March","April","May","June","July","August","September","October","November","December"},0),1))</f>
        <v/>
      </c>
      <c r="B12" s="33" t="inlineStr">
        <is>
          <t>January</t>
        </is>
      </c>
      <c r="C12" s="34">
        <f>IF(B12="","","Monthly Rent Charge")</f>
        <v/>
      </c>
      <c r="D12" s="34" t="n"/>
      <c r="E12" s="35">
        <f>IF(C12="Monthly Rent Charge",$D$3,"")</f>
        <v/>
      </c>
      <c r="F12" s="35">
        <f>IF(C12="Monthly Rent Charge",$F$3,"")</f>
        <v/>
      </c>
      <c r="G12" s="41" t="n"/>
      <c r="H12" s="34" t="n"/>
      <c r="I12" s="36">
        <f>IF(A12="","",IF(C12="Payment Received",I11-IFERROR(G12,0),IF(C12="Monthly Rent Charge",I11+IFERROR(E12,0)+IFERROR(F12,0),I11)))</f>
        <v/>
      </c>
      <c r="J12" s="37" t="n"/>
    </row>
    <row r="13" ht="15" customHeight="1" s="62">
      <c r="A13" s="53" t="n">
        <v>46027</v>
      </c>
      <c r="B13" s="33" t="n"/>
      <c r="C13" s="34" t="inlineStr">
        <is>
          <t>Payment Received</t>
        </is>
      </c>
      <c r="D13" s="34" t="n"/>
      <c r="E13" s="35">
        <f>IF(C13="Monthly Rent Charge",$D$3,"")</f>
        <v/>
      </c>
      <c r="F13" s="35">
        <f>IF(C13="Monthly Rent Charge",$F$3,"")</f>
        <v/>
      </c>
      <c r="G13" s="41" t="n">
        <v>10000</v>
      </c>
      <c r="H13" s="39" t="inlineStr">
        <is>
          <t>UA57G2WSPL</t>
        </is>
      </c>
      <c r="I13" s="36">
        <f>IF(A13="","",IF(C13="Payment Received",I12-IFERROR(G13,0),IF(C13="Monthly Rent Charge",I12+IFERROR(E13,0)+IFERROR(F13,0),I12)))</f>
        <v/>
      </c>
      <c r="J13" s="37" t="n"/>
    </row>
    <row r="14" ht="15" customHeight="1" s="62">
      <c r="A14" s="54">
        <f>IF(B14="","",DATE(YEAR(TODAY()),MATCH(B14,{"January","February","March","April","May","June","July","August","September","October","November","December"},0),1))</f>
        <v/>
      </c>
      <c r="B14" s="33" t="inlineStr">
        <is>
          <t>February</t>
        </is>
      </c>
      <c r="C14" s="34">
        <f>IF(B14="","","Monthly Rent Charge")</f>
        <v/>
      </c>
      <c r="D14" s="34" t="n"/>
      <c r="E14" s="35">
        <f>IF(C14="Monthly Rent Charge",$D$3,"")</f>
        <v/>
      </c>
      <c r="F14" s="35">
        <f>IF(C14="Monthly Rent Charge",$F$3,"")</f>
        <v/>
      </c>
      <c r="G14" s="41" t="n"/>
      <c r="H14" s="34" t="n"/>
      <c r="I14" s="36">
        <f>IF(A14="","",IF(C14="Payment Received",I13-IFERROR(G14,0),IF(C14="Monthly Rent Charge",I13+IFERROR(E14,0)+IFERROR(F14,0),I13)))</f>
        <v/>
      </c>
      <c r="J14" s="37" t="n"/>
    </row>
    <row r="15" ht="15" customHeight="1" s="62">
      <c r="A15" s="53" t="n">
        <v>46058</v>
      </c>
      <c r="B15" s="33" t="n"/>
      <c r="C15" s="34" t="inlineStr">
        <is>
          <t>Payment Received</t>
        </is>
      </c>
      <c r="D15" s="34" t="n"/>
      <c r="E15" s="35">
        <f>IF(C15="Monthly Rent Charge",$D$3,"")</f>
        <v/>
      </c>
      <c r="F15" s="35">
        <f>IF(C15="Monthly Rent Charge",$F$3,"")</f>
        <v/>
      </c>
      <c r="G15" s="41" t="n">
        <v>10000</v>
      </c>
      <c r="H15" s="39" t="inlineStr">
        <is>
          <t>UB5QX5XU12</t>
        </is>
      </c>
      <c r="I15" s="36">
        <f>IF(A15="","",IF(C15="Payment Received",I14-IFERROR(G15,0),IF(C15="Monthly Rent Charge",I14+IFERROR(E15,0)+IFERROR(F15,0),I14)))</f>
        <v/>
      </c>
      <c r="J15" s="37" t="n"/>
    </row>
    <row r="16" ht="15" customHeight="1" s="62">
      <c r="A16" s="54">
        <f>IF(B16="","",DATE(YEAR(TODAY()),MATCH(B16,{"January","February","March","April","May","June","July","August","September","October","November","December"},0),1))</f>
        <v/>
      </c>
      <c r="B16" s="33" t="inlineStr">
        <is>
          <t>March</t>
        </is>
      </c>
      <c r="C16" s="34">
        <f>IF(B16="","","Monthly Rent Charge")</f>
        <v/>
      </c>
      <c r="D16" s="34" t="n"/>
      <c r="E16" s="35">
        <f>IF(C16="Monthly Rent Charge",$D$3,"")</f>
        <v/>
      </c>
      <c r="F16" s="35">
        <f>IF(C16="Monthly Rent Charge",$F$3,"")</f>
        <v/>
      </c>
      <c r="G16" s="41" t="n"/>
      <c r="H16" s="34" t="n"/>
      <c r="I16" s="36">
        <f>IF(A16="","",IF(C16="Payment Received",I15-IFERROR(G16,0),IF(C16="Monthly Rent Charge",I15+IFERROR(E16,0)+IFERROR(F16,0),I15)))</f>
        <v/>
      </c>
      <c r="J16" s="37" t="n"/>
    </row>
    <row r="17" ht="15" customHeight="1" s="62">
      <c r="A17" s="53" t="n">
        <v>46087</v>
      </c>
      <c r="B17" s="33" t="n"/>
      <c r="C17" s="34" t="inlineStr">
        <is>
          <t>Payment Received</t>
        </is>
      </c>
      <c r="D17" s="34" t="n"/>
      <c r="E17" s="35">
        <f>IF(C17="Monthly Rent Charge",$D$3,"")</f>
        <v/>
      </c>
      <c r="F17" s="35">
        <f>IF(C17="Monthly Rent Charge",$F$3,"")</f>
        <v/>
      </c>
      <c r="G17" s="41" t="n">
        <v>10000</v>
      </c>
      <c r="H17" s="39" t="inlineStr">
        <is>
          <t>UC67G8GXVD</t>
        </is>
      </c>
      <c r="I17" s="36">
        <f>IF(A17="","",IF(C17="Payment Received",I16-IFERROR(G17,0),IF(C17="Monthly Rent Charge",I16+IFERROR(E17,0)+IFERROR(F17,0),I16)))</f>
        <v/>
      </c>
      <c r="J17" s="37" t="n"/>
    </row>
    <row r="18" ht="15" customHeight="1" s="62">
      <c r="A18" s="54">
        <f>IF(B18="","",DATE(YEAR(TODAY()),MATCH(B18,{"January","February","March","April","May","June","July","August","September","October","November","December"},0),1))</f>
        <v/>
      </c>
      <c r="B18" s="33" t="inlineStr">
        <is>
          <t>April</t>
        </is>
      </c>
      <c r="C18" s="34">
        <f>IF(B18="","","Monthly Rent Charge")</f>
        <v/>
      </c>
      <c r="D18" s="34" t="n"/>
      <c r="E18" s="35">
        <f>IF(C18="Monthly Rent Charge",$D$3,"")</f>
        <v/>
      </c>
      <c r="F18" s="35">
        <f>IF(C18="Monthly Rent Charge",$F$3,"")</f>
        <v/>
      </c>
      <c r="G18" s="41" t="n"/>
      <c r="H18" s="34" t="n"/>
      <c r="I18" s="36">
        <f>IF(A18="","",IF(C18="Payment Received",I17-IFERROR(G18,0),IF(C18="Monthly Rent Charge",I17+IFERROR(E18,0)+IFERROR(F18,0),I17)))</f>
        <v/>
      </c>
      <c r="J18" s="37" t="n"/>
    </row>
    <row r="19" ht="15" customHeight="1" s="62">
      <c r="A19" s="53" t="n">
        <v>46118</v>
      </c>
      <c r="B19" s="33" t="n"/>
      <c r="C19" s="34" t="inlineStr">
        <is>
          <t>Payment Received</t>
        </is>
      </c>
      <c r="D19" s="34" t="n"/>
      <c r="E19" s="35">
        <f>IF(C19="Monthly Rent Charge",$D$3,"")</f>
        <v/>
      </c>
      <c r="F19" s="35">
        <f>IF(C19="Monthly Rent Charge",$F$3,"")</f>
        <v/>
      </c>
      <c r="G19" s="41" t="n">
        <v>10000</v>
      </c>
      <c r="H19" s="39" t="inlineStr">
        <is>
          <t>UD67GBSFFK</t>
        </is>
      </c>
      <c r="I19" s="36">
        <f>IF(A19="","",IF(C19="Payment Received",I18-IFERROR(G19,0),IF(C19="Monthly Rent Charge",I18+IFERROR(E19,0)+IFERROR(F19,0),I18)))</f>
        <v/>
      </c>
      <c r="J19" s="37" t="n"/>
    </row>
    <row r="20" ht="15" customHeight="1" s="62">
      <c r="A20" s="54">
        <f>IF(B20="","",DATE(YEAR(TODAY()),MATCH(B20,{"January","February","March","April","May","June","July","August","September","October","November","December"},0),1))</f>
        <v/>
      </c>
      <c r="B20" s="33" t="inlineStr">
        <is>
          <t>May</t>
        </is>
      </c>
      <c r="C20" s="34">
        <f>IF(B20="","","Monthly Rent Charge")</f>
        <v/>
      </c>
      <c r="D20" s="34" t="n"/>
      <c r="E20" s="35">
        <f>IF(C20="Monthly Rent Charge",$D$3,"")</f>
        <v/>
      </c>
      <c r="F20" s="35">
        <f>IF(C20="Monthly Rent Charge",$F$3,"")</f>
        <v/>
      </c>
      <c r="G20" s="41" t="n"/>
      <c r="H20" s="34" t="n"/>
      <c r="I20" s="36">
        <f>IF(A20="","",IF(C20="Payment Received",I19-IFERROR(G20,0),IF(C20="Monthly Rent Charge",I19+IFERROR(E20,0)+IFERROR(F20,0),I19)))</f>
        <v/>
      </c>
      <c r="J20" s="37" t="n"/>
    </row>
    <row r="21" ht="15" customHeight="1" s="62">
      <c r="A21" s="53" t="n">
        <v>46147</v>
      </c>
      <c r="B21" s="33" t="n"/>
      <c r="C21" s="34" t="inlineStr">
        <is>
          <t>Payment Received</t>
        </is>
      </c>
      <c r="D21" s="34" t="n"/>
      <c r="E21" s="35">
        <f>IF(C21="Monthly Rent Charge",$D$3,"")</f>
        <v/>
      </c>
      <c r="F21" s="35">
        <f>IF(C21="Monthly Rent Charge",$F$3,"")</f>
        <v/>
      </c>
      <c r="G21" s="41" t="n">
        <v>10000</v>
      </c>
      <c r="H21" s="39" t="inlineStr">
        <is>
          <t>UE57G390K3</t>
        </is>
      </c>
      <c r="I21" s="36">
        <f>IF(A21="","",IF(C21="Payment Received",I20-IFERROR(G21,0),IF(C21="Monthly Rent Charge",I20+IFERROR(E21,0)+IFERROR(F21,0),I20)))</f>
        <v/>
      </c>
      <c r="J21" s="37" t="n"/>
    </row>
    <row r="22" ht="15" customHeight="1" s="62">
      <c r="A22" s="54">
        <f>IF(B22="","",DATE(YEAR(TODAY()),MATCH(B22,{"January","February","March","April","May","June","July","August","September","October","November","December"},0),1))</f>
        <v/>
      </c>
      <c r="B22" s="33" t="inlineStr">
        <is>
          <t>April</t>
        </is>
      </c>
      <c r="C22" s="34">
        <f>IF(B22="","","Monthly Rent Charge")</f>
        <v/>
      </c>
      <c r="D22" s="34" t="n"/>
      <c r="E22" s="35">
        <f>IF(C22="Monthly Rent Charge",$D$3,"")</f>
        <v/>
      </c>
      <c r="F22" s="35">
        <f>IF(C22="Monthly Rent Charge",$F$3,"")</f>
        <v/>
      </c>
      <c r="G22" s="41" t="n"/>
      <c r="H22" s="34" t="n"/>
      <c r="I22" s="36">
        <f>IF(AND(A22="",C22=""),"",IF(C22="Payment Received",I21-IFERROR(G22,0),IF(C22="Monthly Rent Charge",I21+IFERROR(E22,0)+IFERROR(F22,0),I21)))</f>
        <v/>
      </c>
      <c r="J22" s="37" t="n"/>
    </row>
    <row r="23" ht="15" customHeight="1" s="62">
      <c r="A23" s="54" t="n">
        <v>46179</v>
      </c>
      <c r="B23" s="33" t="n"/>
      <c r="C23" s="34" t="inlineStr">
        <is>
          <t>Payment Received</t>
        </is>
      </c>
      <c r="D23" s="34" t="n"/>
      <c r="E23" s="35">
        <f>IF(C23="Monthly Rent Charge",$D$3,"")</f>
        <v/>
      </c>
      <c r="F23" s="35">
        <f>IF(C23="Monthly Rent Charge",$F$3,"")</f>
        <v/>
      </c>
      <c r="G23" s="41" t="n">
        <v>10000</v>
      </c>
      <c r="H23" s="34" t="inlineStr">
        <is>
          <t>UF6QX73FMK</t>
        </is>
      </c>
      <c r="I23" s="36">
        <f>IF(AND(A23="",C23=""),"",IF(C23="Payment Received",I22-IFERROR(G23,0),IF(C23="Monthly Rent Charge",I22+IFERROR(E23,0)+IFERROR(F23,0),I22)))</f>
        <v/>
      </c>
      <c r="J23" s="37" t="n"/>
    </row>
    <row r="24" ht="15" customHeight="1" s="62">
      <c r="A24" s="54">
        <f>IF(B24="","",DATE(YEAR(TODAY()),MATCH(B24,{"January","February","March","April","May","June","July","August","September","October","November","December"},0),1))</f>
        <v/>
      </c>
      <c r="B24" s="33" t="inlineStr">
        <is>
          <t>July</t>
        </is>
      </c>
      <c r="C24" s="34">
        <f>IF(B24="","","Monthly Rent Charge")</f>
        <v/>
      </c>
      <c r="D24" s="34" t="n"/>
      <c r="E24" s="35">
        <f>IF(C24="Monthly Rent Charge",$D$3,"")</f>
        <v/>
      </c>
      <c r="F24" s="35">
        <f>IF(C24="Monthly Rent Charge",$F$3,"")</f>
        <v/>
      </c>
      <c r="G24" s="41" t="n"/>
      <c r="H24" s="34" t="n"/>
      <c r="I24" s="36">
        <f>IF(AND(A24="",C24=""),"",IF(C24="Payment Received",I23-IFERROR(G24,0),IF(C24="Monthly Rent Charge",I23+IFERROR(E24,0)+IFERROR(F24,0),I23)))</f>
        <v/>
      </c>
      <c r="J24" s="37" t="n"/>
    </row>
    <row r="25" ht="15" customHeight="1" s="62">
      <c r="A25" s="54" t="n">
        <v>46208</v>
      </c>
      <c r="B25" s="33" t="n"/>
      <c r="C25" s="34" t="inlineStr">
        <is>
          <t>Payment Received</t>
        </is>
      </c>
      <c r="D25" s="34" t="n"/>
      <c r="E25" s="35">
        <f>IF(C25="Monthly Rent Charge",$D$3,"")</f>
        <v/>
      </c>
      <c r="F25" s="35">
        <f>IF(C25="Monthly Rent Charge",$F$3,"")</f>
        <v/>
      </c>
      <c r="G25" s="41" t="n">
        <v>10000</v>
      </c>
      <c r="H25" s="34" t="inlineStr">
        <is>
          <t>UG57GA8J6G</t>
        </is>
      </c>
      <c r="I25" s="36">
        <f>IF(AND(A25="",C25=""),"",IF(C25="Payment Received",I24-IFERROR(G25,0),IF(C25="Monthly Rent Charge",I24+IFERROR(E25,0)+IFERROR(F25,0),I24)))</f>
        <v/>
      </c>
      <c r="J25" s="37" t="n"/>
    </row>
    <row r="26" ht="15" customHeight="1" s="62">
      <c r="A26" s="54">
        <f>IF(B26="","",DATE(YEAR(TODAY()),MATCH(B26,{"January","February","March","April","May","June","July","August","September","October","November","December"},0),1))</f>
        <v/>
      </c>
      <c r="B26" s="33" t="inlineStr">
        <is>
          <t>August</t>
        </is>
      </c>
      <c r="C26" s="34">
        <f>IF(B26="","","Monthly Rent Charge")</f>
        <v/>
      </c>
      <c r="D26" s="34" t="n"/>
      <c r="E26" s="35">
        <f>IF(C26="Monthly Rent Charge",$D$3,"")</f>
        <v/>
      </c>
      <c r="F26" s="35">
        <f>IF(C26="Monthly Rent Charge",$F$3,"")</f>
        <v/>
      </c>
      <c r="G26" s="41" t="n"/>
      <c r="H26" s="34" t="n"/>
      <c r="I26" s="36">
        <f>IF(AND(A26="",C26=""),"",IF(C26="Payment Received",I25-IFERROR(G26,0),IF(C26="Monthly Rent Charge",I25+IFERROR(E26,0)+IFERROR(F26,0),I25)))</f>
        <v/>
      </c>
      <c r="J26" s="37" t="n"/>
    </row>
    <row r="27" ht="15" customHeight="1" s="62">
      <c r="A27" s="54" t="n">
        <v>46239</v>
      </c>
      <c r="B27" s="33" t="n"/>
      <c r="C27" s="34" t="inlineStr">
        <is>
          <t>Payment Received</t>
        </is>
      </c>
      <c r="D27" s="34" t="n"/>
      <c r="E27" s="35">
        <f>IF(C27="Monthly Rent Charge",$D$3,"")</f>
        <v/>
      </c>
      <c r="F27" s="35">
        <f>IF(C27="Monthly Rent Charge",$F$3,"")</f>
        <v/>
      </c>
      <c r="G27" s="41" t="n">
        <v>10000</v>
      </c>
      <c r="H27" s="34" t="inlineStr">
        <is>
          <t>UH57G1TVAH</t>
        </is>
      </c>
      <c r="I27" s="36">
        <f>IF(AND(A27="",C27=""),"",IF(C27="Payment Received",I26-IFERROR(G27,0),IF(C27="Monthly Rent Charge",I26+IFERROR(E27,0)+IFERROR(F27,0),IFERROR(I26,0))))</f>
        <v/>
      </c>
      <c r="J27" s="37" t="n"/>
    </row>
    <row r="28" ht="15" customHeight="1" s="62">
      <c r="A28" s="54">
        <f>IF(B28="","",DATE(YEAR(TODAY()),MATCH(B28,{"January","February","March","April","May","June","July","August","September","October","November","December"},0),1))</f>
        <v/>
      </c>
      <c r="B28" s="33" t="n"/>
      <c r="C28" s="34">
        <f>IF(B28="","","Monthly Rent Charge")</f>
        <v/>
      </c>
      <c r="D28" s="34" t="n"/>
      <c r="E28" s="35">
        <f>IF(C28="Monthly Rent Charge",$D$3,"")</f>
        <v/>
      </c>
      <c r="F28" s="35">
        <f>IF(C28="Monthly Rent Charge",$F$3,"")</f>
        <v/>
      </c>
      <c r="G28" s="41" t="n"/>
      <c r="H28" s="34" t="n"/>
      <c r="I28" s="36">
        <f>IF(AND(A28="",C28=""),"",IF(C28="Payment Received",I27-IFERROR(G28,0),IF(C28="Monthly Rent Charge",I27+IFERROR(E28,0)+IFERROR(F28,0),IFERROR(I27,0))))</f>
        <v/>
      </c>
      <c r="J28" s="37" t="n"/>
    </row>
    <row r="29" ht="15" customHeight="1" s="62">
      <c r="A29" s="54">
        <f>IF(B29="","",DATE(YEAR(TODAY()),MATCH(B29,{"January","February","March","April","May","June","July","August","September","October","November","December"},0),1))</f>
        <v/>
      </c>
      <c r="B29" s="33" t="n"/>
      <c r="C29" s="34">
        <f>IF(B29="","","Monthly Rent Charge")</f>
        <v/>
      </c>
      <c r="D29" s="34" t="n"/>
      <c r="E29" s="35">
        <f>IF(C29="Monthly Rent Charge",$D$3,"")</f>
        <v/>
      </c>
      <c r="F29" s="35">
        <f>IF(C29="Monthly Rent Charge",$F$3,"")</f>
        <v/>
      </c>
      <c r="G29" s="41" t="n"/>
      <c r="H29" s="34" t="n"/>
      <c r="I29" s="36">
        <f>IF(AND(A29="",C29=""),"",IF(C29="Payment Received",I28-IFERROR(G29,0),IF(C29="Monthly Rent Charge",I28+IFERROR(E29,0)+IFERROR(F29,0),IFERROR(I28,0))))</f>
        <v/>
      </c>
      <c r="J29" s="37" t="n"/>
    </row>
    <row r="30" ht="15" customHeight="1" s="62">
      <c r="A30" s="54">
        <f>IF(B30="","",DATE(YEAR(TODAY()),MATCH(B30,{"January","February","March","April","May","June","July","August","September","October","November","December"},0),1))</f>
        <v/>
      </c>
      <c r="B30" s="33" t="n"/>
      <c r="C30" s="34">
        <f>IF(B30="","","Monthly Rent Charge")</f>
        <v/>
      </c>
      <c r="D30" s="34" t="n"/>
      <c r="E30" s="35">
        <f>IF(C30="Monthly Rent Charge",$D$3,"")</f>
        <v/>
      </c>
      <c r="F30" s="35">
        <f>IF(C30="Monthly Rent Charge",$F$3,"")</f>
        <v/>
      </c>
      <c r="G30" s="41" t="n"/>
      <c r="H30" s="34" t="n"/>
      <c r="I30" s="36">
        <f>IF(AND(A30="",C30=""),"",IF(C30="Payment Received",I29-IFERROR(G30,0),IF(C30="Monthly Rent Charge",I29+IFERROR(E30,0)+IFERROR(F30,0),IFERROR(I29,0))))</f>
        <v/>
      </c>
      <c r="J30" s="37" t="n"/>
    </row>
    <row r="31" ht="15" customHeight="1" s="62">
      <c r="A31" s="54">
        <f>IF(B31="","",DATE(YEAR(TODAY()),MATCH(B31,{"January","February","March","April","May","June","July","August","September","October","November","December"},0),1))</f>
        <v/>
      </c>
      <c r="B31" s="33" t="n"/>
      <c r="C31" s="34">
        <f>IF(B31="","","Monthly Rent Charge")</f>
        <v/>
      </c>
      <c r="D31" s="34" t="n"/>
      <c r="E31" s="35">
        <f>IF(C31="Monthly Rent Charge",$D$3,"")</f>
        <v/>
      </c>
      <c r="F31" s="35">
        <f>IF(C31="Monthly Rent Charge",$F$3,"")</f>
        <v/>
      </c>
      <c r="G31" s="41" t="n"/>
      <c r="H31" s="34" t="n"/>
      <c r="I31" s="36">
        <f>IF(AND(A31="",C31=""),"",IF(C31="Payment Received",I30-IFERROR(G31,0),IF(C31="Monthly Rent Charge",I30+IFERROR(E31,0)+IFERROR(F31,0),IFERROR(I30,0))))</f>
        <v/>
      </c>
      <c r="J31" s="37" t="n"/>
    </row>
    <row r="32" ht="15" customHeight="1" s="62">
      <c r="A32" s="54">
        <f>IF(B32="","",DATE(YEAR(TODAY()),MATCH(B32,{"January","February","March","April","May","June","July","August","September","October","November","December"},0),1))</f>
        <v/>
      </c>
      <c r="B32" s="33" t="n"/>
      <c r="C32" s="34">
        <f>IF(B32="","","Monthly Rent Charge")</f>
        <v/>
      </c>
      <c r="D32" s="34" t="n"/>
      <c r="E32" s="35">
        <f>IF(C32="Monthly Rent Charge",$D$3,"")</f>
        <v/>
      </c>
      <c r="F32" s="35">
        <f>IF(C32="Monthly Rent Charge",$F$3,"")</f>
        <v/>
      </c>
      <c r="G32" s="41" t="n"/>
      <c r="H32" s="34" t="n"/>
      <c r="I32" s="36">
        <f>IF(AND(A32="",C32=""),"",IF(C32="Payment Received",I31-IFERROR(G32,0),IF(C32="Monthly Rent Charge",I31+IFERROR(E32,0)+IFERROR(F32,0),IFERROR(I31,0))))</f>
        <v/>
      </c>
      <c r="J32" s="37" t="n"/>
    </row>
    <row r="33" ht="15" customHeight="1" s="62">
      <c r="A33" s="54">
        <f>IF(B33="","",DATE(YEAR(TODAY()),MATCH(B33,{"January","February","March","April","May","June","July","August","September","October","November","December"},0),1))</f>
        <v/>
      </c>
      <c r="B33" s="33" t="n"/>
      <c r="C33" s="34">
        <f>IF(B33="","","Monthly Rent Charge")</f>
        <v/>
      </c>
      <c r="D33" s="34" t="n"/>
      <c r="E33" s="35">
        <f>IF(C33="Monthly Rent Charge",$D$3,"")</f>
        <v/>
      </c>
      <c r="F33" s="35">
        <f>IF(C33="Monthly Rent Charge",$F$3,"")</f>
        <v/>
      </c>
      <c r="G33" s="41" t="n"/>
      <c r="H33" s="34" t="n"/>
      <c r="I33" s="36">
        <f>IF(AND(A33="",C33=""),"",IF(C33="Payment Received",I32-IFERROR(G33,0),IF(C33="Monthly Rent Charge",I32+IFERROR(E33,0)+IFERROR(F33,0),IFERROR(I32,0))))</f>
        <v/>
      </c>
      <c r="J33" s="37" t="n"/>
    </row>
    <row r="34" ht="15" customHeight="1" s="62">
      <c r="A34" s="54">
        <f>IF(B34="","",DATE(YEAR(TODAY()),MATCH(B34,{"January","February","March","April","May","June","July","August","September","October","November","December"},0),1))</f>
        <v/>
      </c>
      <c r="B34" s="33" t="n"/>
      <c r="C34" s="34">
        <f>IF(B34="","","Monthly Rent Charge")</f>
        <v/>
      </c>
      <c r="D34" s="34" t="n"/>
      <c r="E34" s="35">
        <f>IF(C34="Monthly Rent Charge",$D$3,"")</f>
        <v/>
      </c>
      <c r="F34" s="35">
        <f>IF(C34="Monthly Rent Charge",$F$3,"")</f>
        <v/>
      </c>
      <c r="G34" s="41" t="n"/>
      <c r="H34" s="34" t="n"/>
      <c r="I34" s="36">
        <f>IF(AND(A34="",C34=""),"",IF(C34="Payment Received",I33-IFERROR(G34,0),IF(C34="Monthly Rent Charge",I33+IFERROR(E34,0)+IFERROR(F34,0),IFERROR(I33,0))))</f>
        <v/>
      </c>
      <c r="J34" s="37" t="n"/>
    </row>
    <row r="35" ht="15" customHeight="1" s="62">
      <c r="A35" s="54">
        <f>IF(B35="","",DATE(YEAR(TODAY()),MATCH(B35,{"January","February","March","April","May","June","July","August","September","October","November","December"},0),1))</f>
        <v/>
      </c>
      <c r="B35" s="33" t="n"/>
      <c r="C35" s="34">
        <f>IF(B35="","","Monthly Rent Charge")</f>
        <v/>
      </c>
      <c r="D35" s="34" t="n"/>
      <c r="E35" s="35">
        <f>IF(C35="Monthly Rent Charge",$D$3,"")</f>
        <v/>
      </c>
      <c r="F35" s="35">
        <f>IF(C35="Monthly Rent Charge",$F$3,"")</f>
        <v/>
      </c>
      <c r="G35" s="41" t="n"/>
      <c r="H35" s="34" t="n"/>
      <c r="I35" s="36">
        <f>IF(AND(A35="",C35=""),"",IF(C35="Payment Received",I34-IFERROR(G35,0),IF(C35="Monthly Rent Charge",I34+IFERROR(E35,0)+IFERROR(F35,0),IFERROR(I34,0))))</f>
        <v/>
      </c>
      <c r="J35" s="37" t="n"/>
    </row>
    <row r="36" ht="15" customHeight="1" s="62">
      <c r="A36" s="54">
        <f>IF(B36="","",DATE(YEAR(TODAY()),MATCH(B36,{"January","February","March","April","May","June","July","August","September","October","November","December"},0),1))</f>
        <v/>
      </c>
      <c r="B36" s="33" t="n"/>
      <c r="C36" s="34">
        <f>IF(B36="","","Monthly Rent Charge")</f>
        <v/>
      </c>
      <c r="D36" s="34" t="n"/>
      <c r="E36" s="35">
        <f>IF(C36="Monthly Rent Charge",$D$3,"")</f>
        <v/>
      </c>
      <c r="F36" s="35">
        <f>IF(C36="Monthly Rent Charge",$F$3,"")</f>
        <v/>
      </c>
      <c r="G36" s="41" t="n"/>
      <c r="H36" s="34" t="n"/>
      <c r="I36" s="36">
        <f>IF(AND(A36="",C36=""),"",IF(C36="Payment Received",I35-IFERROR(G36,0),IF(C36="Monthly Rent Charge",I35+IFERROR(E36,0)+IFERROR(F36,0),IFERROR(I35,0))))</f>
        <v/>
      </c>
      <c r="J36" s="37" t="n"/>
    </row>
    <row r="37" ht="15" customHeight="1" s="62">
      <c r="A37" s="54">
        <f>IF(B37="","",DATE(YEAR(TODAY()),MATCH(B37,{"January","February","March","April","May","June","July","August","September","October","November","December"},0),1))</f>
        <v/>
      </c>
      <c r="B37" s="33" t="n"/>
      <c r="C37" s="34">
        <f>IF(B37="","","Monthly Rent Charge")</f>
        <v/>
      </c>
      <c r="D37" s="34" t="n"/>
      <c r="E37" s="35">
        <f>IF(C37="Monthly Rent Charge",$D$3,"")</f>
        <v/>
      </c>
      <c r="F37" s="35">
        <f>IF(C37="Monthly Rent Charge",$F$3,"")</f>
        <v/>
      </c>
      <c r="G37" s="41" t="n"/>
      <c r="H37" s="34" t="n"/>
      <c r="I37" s="36">
        <f>IF(AND(A37="",C37=""),"",IF(C37="Payment Received",I36-IFERROR(G37,0),IF(C37="Monthly Rent Charge",I36+IFERROR(E37,0)+IFERROR(F37,0),IFERROR(I36,0))))</f>
        <v/>
      </c>
      <c r="J37" s="37" t="n"/>
    </row>
    <row r="38" ht="15" customHeight="1" s="62">
      <c r="A38" s="54">
        <f>IF(B38="","",DATE(YEAR(TODAY()),MATCH(B38,{"January","February","March","April","May","June","July","August","September","October","November","December"},0),1))</f>
        <v/>
      </c>
      <c r="B38" s="33" t="n"/>
      <c r="C38" s="34">
        <f>IF(B38="","","Monthly Rent Charge")</f>
        <v/>
      </c>
      <c r="D38" s="34" t="n"/>
      <c r="E38" s="35">
        <f>IF(C38="Monthly Rent Charge",$D$3,"")</f>
        <v/>
      </c>
      <c r="F38" s="35">
        <f>IF(C38="Monthly Rent Charge",$F$3,"")</f>
        <v/>
      </c>
      <c r="G38" s="41" t="n"/>
      <c r="H38" s="34" t="n"/>
      <c r="I38" s="36">
        <f>IF(AND(A38="",C38=""),"",IF(C38="Payment Received",I37-IFERROR(G38,0),IF(C38="Monthly Rent Charge",I37+IFERROR(E38,0)+IFERROR(F38,0),IFERROR(I37,0))))</f>
        <v/>
      </c>
      <c r="J38" s="37" t="n"/>
    </row>
    <row r="39" ht="15" customHeight="1" s="62">
      <c r="A39" s="54">
        <f>IF(B39="","",DATE(YEAR(TODAY()),MATCH(B39,{"January","February","March","April","May","June","July","August","September","October","November","December"},0),1))</f>
        <v/>
      </c>
      <c r="B39" s="33" t="n"/>
      <c r="C39" s="34">
        <f>IF(B39="","","Monthly Rent Charge")</f>
        <v/>
      </c>
      <c r="D39" s="34" t="n"/>
      <c r="E39" s="35">
        <f>IF(C39="Monthly Rent Charge",$D$3,"")</f>
        <v/>
      </c>
      <c r="F39" s="35">
        <f>IF(C39="Monthly Rent Charge",$F$3,"")</f>
        <v/>
      </c>
      <c r="G39" s="41" t="n"/>
      <c r="H39" s="34" t="n"/>
      <c r="I39" s="36">
        <f>IF(AND(A39="",C39=""),"",IF(C39="Payment Received",I38-IFERROR(G39,0),IF(C39="Monthly Rent Charge",I38+IFERROR(E39,0)+IFERROR(F39,0),IFERROR(I38,0))))</f>
        <v/>
      </c>
      <c r="J39" s="37" t="n"/>
    </row>
    <row r="40" ht="15" customHeight="1" s="62">
      <c r="A40" s="54">
        <f>IF(B40="","",DATE(YEAR(TODAY()),MATCH(B40,{"January","February","March","April","May","June","July","August","September","October","November","December"},0),1))</f>
        <v/>
      </c>
      <c r="B40" s="33" t="n"/>
      <c r="C40" s="34">
        <f>IF(B40="","","Monthly Rent Charge")</f>
        <v/>
      </c>
      <c r="D40" s="34" t="n"/>
      <c r="E40" s="35">
        <f>IF(C40="Monthly Rent Charge",$D$3,"")</f>
        <v/>
      </c>
      <c r="F40" s="35">
        <f>IF(C40="Monthly Rent Charge",$F$3,"")</f>
        <v/>
      </c>
      <c r="G40" s="41" t="n"/>
      <c r="H40" s="34" t="n"/>
      <c r="I40" s="36">
        <f>IF(AND(A40="",C40=""),"",IF(C40="Payment Received",I39-IFERROR(G40,0),IF(C40="Monthly Rent Charge",I39+IFERROR(E40,0)+IFERROR(F40,0),IFERROR(I39,0))))</f>
        <v/>
      </c>
      <c r="J40" s="37" t="n"/>
    </row>
    <row r="41" ht="15" customHeight="1" s="62">
      <c r="A41" s="54">
        <f>IF(B41="","",DATE(YEAR(TODAY()),MATCH(B41,{"January","February","March","April","May","June","July","August","September","October","November","December"},0),1))</f>
        <v/>
      </c>
      <c r="B41" s="33" t="n"/>
      <c r="C41" s="34">
        <f>IF(B41="","","Monthly Rent Charge")</f>
        <v/>
      </c>
      <c r="D41" s="34" t="n"/>
      <c r="E41" s="35">
        <f>IF(C41="Monthly Rent Charge",$D$3,"")</f>
        <v/>
      </c>
      <c r="F41" s="35">
        <f>IF(C41="Monthly Rent Charge",$F$3,"")</f>
        <v/>
      </c>
      <c r="G41" s="41" t="n"/>
      <c r="H41" s="34" t="n"/>
      <c r="I41" s="36">
        <f>IF(AND(A41="",C41=""),"",IF(C41="Payment Received",I40-IFERROR(G41,0),IF(C41="Monthly Rent Charge",I40+IFERROR(E41,0)+IFERROR(F41,0),IFERROR(I40,0))))</f>
        <v/>
      </c>
      <c r="J41" s="37" t="n"/>
    </row>
    <row r="42" ht="15" customHeight="1" s="62">
      <c r="A42" s="54" t="n"/>
      <c r="B42" s="33" t="n"/>
      <c r="C42" s="34" t="n"/>
      <c r="D42" s="34" t="n"/>
      <c r="E42" s="35" t="n"/>
      <c r="F42" s="35" t="n"/>
      <c r="G42" s="41" t="n"/>
      <c r="H42" s="34" t="n"/>
      <c r="I42" s="36" t="n"/>
      <c r="J42" s="37" t="n"/>
    </row>
    <row r="43" ht="15" customHeight="1" s="62">
      <c r="A43" s="54" t="n"/>
      <c r="B43" s="33" t="n"/>
      <c r="C43" s="34" t="n"/>
      <c r="D43" s="34" t="n"/>
      <c r="E43" s="35" t="n"/>
      <c r="F43" s="35" t="n"/>
      <c r="G43" s="41" t="n"/>
      <c r="H43" s="34" t="n"/>
      <c r="I43" s="36" t="n"/>
      <c r="J43" s="37" t="n"/>
    </row>
    <row r="44" ht="15" customHeight="1" s="62">
      <c r="A44" s="54" t="n"/>
      <c r="B44" s="33" t="n"/>
      <c r="C44" s="34" t="n"/>
      <c r="D44" s="34" t="n"/>
      <c r="E44" s="35" t="n"/>
      <c r="F44" s="35" t="n"/>
      <c r="G44" s="41" t="n"/>
      <c r="H44" s="34" t="n"/>
      <c r="I44" s="36" t="n"/>
      <c r="J44" s="37" t="n"/>
    </row>
    <row r="45" ht="15" customHeight="1" s="62">
      <c r="A45" s="54" t="n"/>
      <c r="B45" s="33" t="n"/>
      <c r="C45" s="34" t="n"/>
      <c r="D45" s="34" t="n"/>
      <c r="E45" s="35" t="n"/>
      <c r="F45" s="35" t="n"/>
      <c r="G45" s="41" t="n"/>
      <c r="H45" s="34" t="n"/>
      <c r="I45" s="36" t="n"/>
      <c r="J45" s="37" t="n"/>
    </row>
    <row r="46" ht="15" customHeight="1" s="62">
      <c r="A46" s="54" t="n"/>
      <c r="B46" s="33" t="n"/>
      <c r="C46" s="34" t="n"/>
      <c r="D46" s="34" t="n"/>
      <c r="E46" s="35" t="n"/>
      <c r="F46" s="35" t="n"/>
      <c r="G46" s="41" t="n"/>
      <c r="H46" s="34" t="n"/>
      <c r="I46" s="36" t="n"/>
      <c r="J46" s="37" t="n"/>
    </row>
    <row r="47" ht="15" customHeight="1" s="62">
      <c r="A47" s="54" t="n"/>
      <c r="B47" s="33" t="n"/>
      <c r="C47" s="34" t="n"/>
      <c r="D47" s="34" t="n"/>
      <c r="E47" s="35" t="n"/>
      <c r="F47" s="35" t="n"/>
      <c r="G47" s="41" t="n"/>
      <c r="H47" s="34" t="n"/>
      <c r="I47" s="36" t="n"/>
      <c r="J47" s="37" t="n"/>
    </row>
    <row r="48" ht="15" customHeight="1" s="62">
      <c r="A48" s="54" t="n"/>
      <c r="B48" s="33" t="n"/>
      <c r="C48" s="34" t="n"/>
      <c r="D48" s="34" t="n"/>
      <c r="E48" s="35" t="n"/>
      <c r="F48" s="35" t="n"/>
      <c r="G48" s="41" t="n"/>
      <c r="H48" s="34" t="n"/>
      <c r="I48" s="36" t="n"/>
      <c r="J48" s="37" t="n"/>
    </row>
    <row r="49" ht="15" customHeight="1" s="62">
      <c r="A49" s="54" t="n"/>
      <c r="B49" s="33" t="n"/>
      <c r="C49" s="34" t="n"/>
      <c r="D49" s="34" t="n"/>
      <c r="E49" s="35" t="n"/>
      <c r="F49" s="35" t="n"/>
      <c r="G49" s="41" t="n"/>
      <c r="H49" s="34" t="n"/>
      <c r="I49" s="36" t="n"/>
      <c r="J49" s="37" t="n"/>
    </row>
    <row r="50" ht="15" customHeight="1" s="62">
      <c r="A50" s="54" t="n"/>
      <c r="B50" s="33" t="n"/>
      <c r="C50" s="34" t="n"/>
      <c r="D50" s="34" t="n"/>
      <c r="E50" s="35" t="n"/>
      <c r="F50" s="35" t="n"/>
      <c r="G50" s="41" t="n"/>
      <c r="H50" s="34" t="n"/>
      <c r="I50" s="36" t="n"/>
      <c r="J50" s="37" t="n"/>
    </row>
    <row r="51" ht="15" customHeight="1" s="62">
      <c r="A51" s="54" t="n"/>
      <c r="B51" s="33" t="n"/>
      <c r="C51" s="34" t="n"/>
      <c r="D51" s="34" t="n"/>
      <c r="E51" s="35" t="n"/>
      <c r="F51" s="35" t="n"/>
      <c r="G51" s="41" t="n"/>
      <c r="H51" s="34" t="n"/>
      <c r="I51" s="36" t="n"/>
      <c r="J51" s="37" t="n"/>
    </row>
    <row r="52" ht="15" customHeight="1" s="62">
      <c r="A52" s="54" t="n"/>
      <c r="B52" s="33" t="n"/>
      <c r="C52" s="34" t="n"/>
      <c r="D52" s="34" t="n"/>
      <c r="E52" s="35" t="n"/>
      <c r="F52" s="35" t="n"/>
      <c r="G52" s="41" t="n"/>
      <c r="H52" s="34" t="n"/>
      <c r="I52" s="36" t="n"/>
      <c r="J52" s="37" t="n"/>
    </row>
    <row r="53" ht="15" customHeight="1" s="62">
      <c r="A53" s="54" t="n"/>
      <c r="B53" s="33" t="n"/>
      <c r="C53" s="34" t="n"/>
      <c r="D53" s="34" t="n"/>
      <c r="E53" s="35" t="n"/>
      <c r="F53" s="35" t="n"/>
      <c r="G53" s="41" t="n"/>
      <c r="H53" s="34" t="n"/>
      <c r="I53" s="36" t="n"/>
      <c r="J53" s="37" t="n"/>
    </row>
    <row r="54" ht="15" customHeight="1" s="62">
      <c r="A54" s="54" t="n"/>
      <c r="B54" s="33" t="n"/>
      <c r="C54" s="34" t="n"/>
      <c r="D54" s="34" t="n"/>
      <c r="E54" s="35" t="n"/>
      <c r="F54" s="35" t="n"/>
      <c r="G54" s="41" t="n"/>
      <c r="H54" s="34" t="n"/>
      <c r="I54" s="36" t="n"/>
      <c r="J54" s="37" t="n"/>
    </row>
    <row r="55" ht="15" customHeight="1" s="62">
      <c r="A55" s="54" t="n"/>
      <c r="B55" s="33" t="n"/>
      <c r="C55" s="34" t="n"/>
      <c r="D55" s="34" t="n"/>
      <c r="E55" s="35" t="n"/>
      <c r="F55" s="35" t="n"/>
      <c r="G55" s="41" t="n"/>
      <c r="H55" s="34" t="n"/>
      <c r="I55" s="36" t="n"/>
      <c r="J55" s="37" t="n"/>
    </row>
    <row r="56" ht="15" customHeight="1" s="62">
      <c r="A56" s="54" t="n"/>
      <c r="B56" s="33" t="n"/>
      <c r="C56" s="34" t="n"/>
      <c r="D56" s="34" t="n"/>
      <c r="E56" s="35" t="n"/>
      <c r="F56" s="35" t="n"/>
      <c r="G56" s="41" t="n"/>
      <c r="H56" s="34" t="n"/>
      <c r="I56" s="36" t="n"/>
      <c r="J56" s="37" t="n"/>
    </row>
    <row r="57" ht="15" customHeight="1" s="62">
      <c r="A57" s="54" t="n"/>
      <c r="B57" s="33" t="n"/>
      <c r="C57" s="34" t="n"/>
      <c r="D57" s="34" t="n"/>
      <c r="E57" s="35" t="n"/>
      <c r="F57" s="35" t="n"/>
      <c r="G57" s="41" t="n"/>
      <c r="H57" s="34" t="n"/>
      <c r="I57" s="36" t="n"/>
      <c r="J57" s="37" t="n"/>
    </row>
    <row r="58" ht="15" customHeight="1" s="62">
      <c r="A58" s="54" t="n"/>
      <c r="B58" s="33" t="n"/>
      <c r="C58" s="34" t="n"/>
      <c r="D58" s="34" t="n"/>
      <c r="E58" s="35" t="n"/>
      <c r="F58" s="35" t="n"/>
      <c r="G58" s="41" t="n"/>
      <c r="H58" s="34" t="n"/>
      <c r="I58" s="36" t="n"/>
      <c r="J58" s="37" t="n"/>
    </row>
    <row r="59" ht="15" customHeight="1" s="62">
      <c r="A59" s="54" t="n"/>
      <c r="B59" s="33" t="n"/>
      <c r="C59" s="34" t="n"/>
      <c r="D59" s="34" t="n"/>
      <c r="E59" s="35" t="n"/>
      <c r="F59" s="35" t="n"/>
      <c r="G59" s="41" t="n"/>
      <c r="H59" s="34" t="n"/>
      <c r="I59" s="36" t="n"/>
      <c r="J59" s="37" t="n"/>
    </row>
    <row r="60" ht="15" customHeight="1" s="62">
      <c r="A60" s="54" t="n"/>
      <c r="B60" s="33" t="n"/>
      <c r="C60" s="34" t="n"/>
      <c r="D60" s="34" t="n"/>
      <c r="E60" s="35" t="n"/>
      <c r="F60" s="35" t="n"/>
      <c r="G60" s="41" t="n"/>
      <c r="H60" s="34" t="n"/>
      <c r="I60" s="36" t="n"/>
      <c r="J60" s="37" t="n"/>
    </row>
    <row r="61" ht="15" customHeight="1" s="62">
      <c r="A61" s="54" t="n"/>
      <c r="B61" s="33" t="n"/>
      <c r="C61" s="34" t="n"/>
      <c r="D61" s="34" t="n"/>
      <c r="E61" s="35" t="n"/>
      <c r="F61" s="35" t="n"/>
      <c r="G61" s="41" t="n"/>
      <c r="H61" s="34" t="n"/>
      <c r="I61" s="36" t="n"/>
      <c r="J61" s="37" t="n"/>
    </row>
    <row r="62" ht="15" customHeight="1" s="62">
      <c r="A62" s="54" t="n"/>
      <c r="B62" s="33" t="n"/>
      <c r="C62" s="34" t="n"/>
      <c r="D62" s="34" t="n"/>
      <c r="E62" s="35" t="n"/>
      <c r="F62" s="35" t="n"/>
      <c r="G62" s="41" t="n"/>
      <c r="H62" s="34" t="n"/>
      <c r="I62" s="36" t="n"/>
      <c r="J62" s="37" t="n"/>
    </row>
    <row r="63" ht="15" customHeight="1" s="62">
      <c r="A63" s="54" t="n"/>
      <c r="B63" s="33" t="n"/>
      <c r="C63" s="34" t="n"/>
      <c r="D63" s="34" t="n"/>
      <c r="E63" s="35" t="n"/>
      <c r="F63" s="35" t="n"/>
      <c r="G63" s="41" t="n"/>
      <c r="H63" s="34" t="n"/>
      <c r="I63" s="36" t="n"/>
      <c r="J63" s="37" t="n"/>
    </row>
    <row r="64" ht="15" customHeight="1" s="62">
      <c r="A64" s="54" t="n"/>
      <c r="B64" s="33" t="n"/>
      <c r="C64" s="34" t="n"/>
      <c r="D64" s="34" t="n"/>
      <c r="E64" s="35" t="n"/>
      <c r="F64" s="35" t="n"/>
      <c r="G64" s="41" t="n"/>
      <c r="H64" s="34" t="n"/>
      <c r="I64" s="36" t="n"/>
      <c r="J64" s="37" t="n"/>
    </row>
    <row r="65" ht="15" customHeight="1" s="62">
      <c r="A65" s="54" t="n"/>
      <c r="B65" s="33" t="n"/>
      <c r="C65" s="34" t="n"/>
      <c r="D65" s="34" t="n"/>
      <c r="E65" s="35" t="n"/>
      <c r="F65" s="35" t="n"/>
      <c r="G65" s="41" t="n"/>
      <c r="H65" s="34" t="n"/>
      <c r="I65" s="36" t="n"/>
      <c r="J65" s="37" t="n"/>
    </row>
    <row r="66" ht="15" customHeight="1" s="62">
      <c r="A66" s="54" t="n"/>
      <c r="B66" s="33" t="n"/>
      <c r="C66" s="34" t="n"/>
      <c r="D66" s="34" t="n"/>
      <c r="E66" s="35" t="n"/>
      <c r="F66" s="35" t="n"/>
      <c r="G66" s="41" t="n"/>
      <c r="H66" s="34" t="n"/>
      <c r="I66" s="36" t="n"/>
      <c r="J66" s="37" t="n"/>
    </row>
    <row r="67" ht="15" customHeight="1" s="62">
      <c r="A67" s="54" t="n"/>
      <c r="B67" s="33" t="n"/>
      <c r="C67" s="34" t="n"/>
      <c r="D67" s="34" t="n"/>
      <c r="E67" s="35" t="n"/>
      <c r="F67" s="35" t="n"/>
      <c r="G67" s="41" t="n"/>
      <c r="H67" s="34" t="n"/>
      <c r="I67" s="36" t="n"/>
      <c r="J67" s="37" t="n"/>
    </row>
    <row r="68" ht="15" customHeight="1" s="62">
      <c r="A68" s="54" t="n"/>
      <c r="B68" s="33" t="n"/>
      <c r="C68" s="34" t="n"/>
      <c r="D68" s="34" t="n"/>
      <c r="E68" s="35" t="n"/>
      <c r="F68" s="35" t="n"/>
      <c r="G68" s="41" t="n"/>
      <c r="H68" s="34" t="n"/>
      <c r="I68" s="36" t="n"/>
      <c r="J68" s="37" t="n"/>
    </row>
    <row r="69" ht="15" customHeight="1" s="62">
      <c r="A69" s="54" t="n"/>
      <c r="B69" s="33" t="n"/>
      <c r="C69" s="34" t="n"/>
      <c r="D69" s="34" t="n"/>
      <c r="E69" s="35" t="n"/>
      <c r="F69" s="35" t="n"/>
      <c r="G69" s="41" t="n"/>
      <c r="H69" s="34" t="n"/>
      <c r="I69" s="36" t="n"/>
      <c r="J69" s="37" t="n"/>
    </row>
    <row r="70" ht="15" customHeight="1" s="62">
      <c r="A70" s="54" t="n"/>
      <c r="B70" s="33" t="n"/>
      <c r="C70" s="34" t="n"/>
      <c r="D70" s="34" t="n"/>
      <c r="E70" s="35" t="n"/>
      <c r="F70" s="35" t="n"/>
      <c r="G70" s="41" t="n"/>
      <c r="H70" s="34" t="n"/>
      <c r="I70" s="36" t="n"/>
      <c r="J70" s="37" t="n"/>
    </row>
    <row r="71" ht="15" customHeight="1" s="62">
      <c r="A71" s="54" t="n"/>
      <c r="B71" s="33" t="n"/>
      <c r="C71" s="34" t="n"/>
      <c r="D71" s="34" t="n"/>
      <c r="E71" s="35" t="n"/>
      <c r="F71" s="35" t="n"/>
      <c r="G71" s="41" t="n"/>
      <c r="H71" s="34" t="n"/>
      <c r="I71" s="36" t="n"/>
      <c r="J71" s="37" t="n"/>
    </row>
    <row r="72" ht="15" customHeight="1" s="62">
      <c r="A72" s="54" t="n"/>
      <c r="B72" s="33" t="n"/>
      <c r="C72" s="34" t="n"/>
      <c r="D72" s="34" t="n"/>
      <c r="E72" s="35" t="n"/>
      <c r="F72" s="35" t="n"/>
      <c r="G72" s="41" t="n"/>
      <c r="H72" s="34" t="n"/>
      <c r="I72" s="36" t="n"/>
      <c r="J72" s="37" t="n"/>
    </row>
    <row r="73" ht="15" customHeight="1" s="62">
      <c r="A73" s="54" t="n"/>
      <c r="B73" s="33" t="n"/>
      <c r="C73" s="34" t="n"/>
      <c r="D73" s="34" t="n"/>
      <c r="E73" s="35" t="n"/>
      <c r="F73" s="35" t="n"/>
      <c r="G73" s="41" t="n"/>
      <c r="H73" s="34" t="n"/>
      <c r="I73" s="36" t="n"/>
      <c r="J73" s="37" t="n"/>
    </row>
    <row r="74" ht="15" customHeight="1" s="62">
      <c r="A74" s="54" t="n"/>
      <c r="B74" s="33" t="n"/>
      <c r="C74" s="34" t="n"/>
      <c r="D74" s="34" t="n"/>
      <c r="E74" s="35" t="n"/>
      <c r="F74" s="35" t="n"/>
      <c r="G74" s="41" t="n"/>
      <c r="H74" s="34" t="n"/>
      <c r="I74" s="36" t="n"/>
      <c r="J74" s="37" t="n"/>
    </row>
    <row r="75" ht="15" customHeight="1" s="62">
      <c r="A75" s="54" t="n"/>
      <c r="B75" s="33" t="n"/>
      <c r="C75" s="34" t="n"/>
      <c r="D75" s="34" t="n"/>
      <c r="E75" s="35" t="n"/>
      <c r="F75" s="35" t="n"/>
      <c r="G75" s="41" t="n"/>
      <c r="H75" s="34" t="n"/>
      <c r="I75" s="36" t="n"/>
      <c r="J75" s="37" t="n"/>
    </row>
    <row r="76" ht="15" customHeight="1" s="62">
      <c r="A76" s="54" t="n"/>
      <c r="B76" s="33" t="n"/>
      <c r="C76" s="34" t="n"/>
      <c r="D76" s="34" t="n"/>
      <c r="E76" s="35" t="n"/>
      <c r="F76" s="35" t="n"/>
      <c r="G76" s="41" t="n"/>
      <c r="H76" s="34" t="n"/>
      <c r="I76" s="36" t="n"/>
      <c r="J76" s="37" t="n"/>
    </row>
    <row r="77" ht="15" customHeight="1" s="62">
      <c r="A77" s="54" t="n"/>
      <c r="B77" s="33" t="n"/>
      <c r="C77" s="34" t="n"/>
      <c r="D77" s="34" t="n"/>
      <c r="E77" s="35" t="n"/>
      <c r="F77" s="35" t="n"/>
      <c r="G77" s="41" t="n"/>
      <c r="H77" s="34" t="n"/>
      <c r="I77" s="36" t="n"/>
      <c r="J77" s="37" t="n"/>
    </row>
    <row r="78" ht="15" customHeight="1" s="62">
      <c r="A78" s="54" t="n"/>
      <c r="B78" s="33" t="n"/>
      <c r="C78" s="34" t="n"/>
      <c r="D78" s="34" t="n"/>
      <c r="E78" s="35" t="n"/>
      <c r="F78" s="35" t="n"/>
      <c r="G78" s="41" t="n"/>
      <c r="H78" s="34" t="n"/>
      <c r="I78" s="36" t="n"/>
      <c r="J78" s="37" t="n"/>
    </row>
    <row r="79" ht="15" customHeight="1" s="62">
      <c r="A79" s="54" t="n"/>
      <c r="B79" s="33" t="n"/>
      <c r="C79" s="34" t="n"/>
      <c r="D79" s="34" t="n"/>
      <c r="E79" s="35" t="n"/>
      <c r="F79" s="35" t="n"/>
      <c r="G79" s="41" t="n"/>
      <c r="H79" s="34" t="n"/>
      <c r="I79" s="36" t="n"/>
      <c r="J79" s="37" t="n"/>
    </row>
    <row r="80" ht="15" customHeight="1" s="62">
      <c r="A80" s="54" t="n"/>
      <c r="B80" s="33" t="n"/>
      <c r="C80" s="34" t="n"/>
      <c r="D80" s="34" t="n"/>
      <c r="E80" s="35" t="n"/>
      <c r="F80" s="35" t="n"/>
      <c r="G80" s="41" t="n"/>
      <c r="H80" s="34" t="n"/>
      <c r="I80" s="36" t="n"/>
      <c r="J80" s="37" t="n"/>
    </row>
    <row r="81" ht="15" customHeight="1" s="62">
      <c r="A81" s="54" t="n"/>
      <c r="B81" s="33" t="n"/>
      <c r="C81" s="34" t="n"/>
      <c r="D81" s="34" t="n"/>
      <c r="E81" s="35" t="n"/>
      <c r="F81" s="35" t="n"/>
      <c r="G81" s="41" t="n"/>
      <c r="H81" s="34" t="n"/>
      <c r="I81" s="36" t="n"/>
      <c r="J81" s="37" t="n"/>
    </row>
    <row r="82" ht="15" customHeight="1" s="62">
      <c r="A82" s="54" t="n"/>
      <c r="B82" s="33" t="n"/>
      <c r="C82" s="34" t="n"/>
      <c r="D82" s="34" t="n"/>
      <c r="E82" s="35" t="n"/>
      <c r="F82" s="35" t="n"/>
      <c r="G82" s="41" t="n"/>
      <c r="H82" s="34" t="n"/>
      <c r="I82" s="36" t="n"/>
      <c r="J82" s="37" t="n"/>
    </row>
    <row r="83" ht="15" customHeight="1" s="62">
      <c r="A83" s="54" t="n"/>
      <c r="B83" s="33" t="n"/>
      <c r="C83" s="34" t="n"/>
      <c r="D83" s="34" t="n"/>
      <c r="E83" s="35" t="n"/>
      <c r="F83" s="35" t="n"/>
      <c r="G83" s="41" t="n"/>
      <c r="H83" s="34" t="n"/>
      <c r="I83" s="36" t="n"/>
      <c r="J83" s="37" t="n"/>
    </row>
    <row r="84" ht="15" customHeight="1" s="62">
      <c r="A84" s="54" t="n"/>
      <c r="B84" s="33" t="n"/>
      <c r="C84" s="34" t="n"/>
      <c r="D84" s="34" t="n"/>
      <c r="E84" s="35" t="n"/>
      <c r="F84" s="35" t="n"/>
      <c r="G84" s="41" t="n"/>
      <c r="H84" s="34" t="n"/>
      <c r="I84" s="36" t="n"/>
      <c r="J84" s="37" t="n"/>
    </row>
    <row r="85" ht="15" customHeight="1" s="62">
      <c r="A85" s="54" t="n"/>
      <c r="B85" s="33" t="n"/>
      <c r="C85" s="34" t="n"/>
      <c r="D85" s="34" t="n"/>
      <c r="E85" s="35" t="n"/>
      <c r="F85" s="35" t="n"/>
      <c r="G85" s="41" t="n"/>
      <c r="H85" s="34" t="n"/>
      <c r="I85" s="36" t="n"/>
      <c r="J85" s="37" t="n"/>
    </row>
    <row r="86" ht="15" customHeight="1" s="62">
      <c r="A86" s="54" t="n"/>
      <c r="B86" s="33" t="n"/>
      <c r="C86" s="34" t="n"/>
      <c r="D86" s="34" t="n"/>
      <c r="E86" s="35" t="n"/>
      <c r="F86" s="35" t="n"/>
      <c r="G86" s="41" t="n"/>
      <c r="H86" s="34" t="n"/>
      <c r="I86" s="36" t="n"/>
      <c r="J86" s="37" t="n"/>
    </row>
    <row r="87" ht="15" customHeight="1" s="62">
      <c r="A87" s="54" t="n"/>
      <c r="B87" s="33" t="n"/>
      <c r="C87" s="34" t="n"/>
      <c r="D87" s="34" t="n"/>
      <c r="E87" s="35" t="n"/>
      <c r="F87" s="35" t="n"/>
      <c r="G87" s="41" t="n"/>
      <c r="H87" s="34" t="n"/>
      <c r="I87" s="36" t="n"/>
      <c r="J87" s="37" t="n"/>
    </row>
    <row r="88" ht="15" customHeight="1" s="62">
      <c r="A88" s="54" t="n"/>
      <c r="B88" s="33" t="n"/>
      <c r="C88" s="34" t="n"/>
      <c r="D88" s="34" t="n"/>
      <c r="E88" s="35" t="n"/>
      <c r="F88" s="35" t="n"/>
      <c r="G88" s="41" t="n"/>
      <c r="H88" s="34" t="n"/>
      <c r="I88" s="36" t="n"/>
      <c r="J88" s="37" t="n"/>
    </row>
    <row r="89" ht="15" customHeight="1" s="62">
      <c r="A89" s="54" t="n"/>
      <c r="B89" s="33" t="n"/>
      <c r="C89" s="34" t="n"/>
      <c r="D89" s="34" t="n"/>
      <c r="E89" s="35" t="n"/>
      <c r="F89" s="35" t="n"/>
      <c r="G89" s="41" t="n"/>
      <c r="H89" s="34" t="n"/>
      <c r="I89" s="36" t="n"/>
      <c r="J89" s="37" t="n"/>
    </row>
    <row r="90" ht="15" customHeight="1" s="62">
      <c r="A90" s="54" t="n"/>
      <c r="B90" s="33" t="n"/>
      <c r="C90" s="34" t="n"/>
      <c r="D90" s="34" t="n"/>
      <c r="E90" s="35" t="n"/>
      <c r="F90" s="35" t="n"/>
      <c r="G90" s="41" t="n"/>
      <c r="H90" s="34" t="n"/>
      <c r="I90" s="36" t="n"/>
      <c r="J90" s="37" t="n"/>
    </row>
    <row r="91" ht="15" customHeight="1" s="62">
      <c r="A91" s="54" t="n"/>
      <c r="B91" s="33" t="n"/>
      <c r="C91" s="34" t="n"/>
      <c r="D91" s="34" t="n"/>
      <c r="E91" s="35" t="n"/>
      <c r="F91" s="35" t="n"/>
      <c r="G91" s="41" t="n"/>
      <c r="H91" s="34" t="n"/>
      <c r="I91" s="36" t="n"/>
      <c r="J91" s="37" t="n"/>
    </row>
    <row r="92" ht="15" customHeight="1" s="62">
      <c r="A92" s="54" t="n"/>
      <c r="B92" s="33" t="n"/>
      <c r="C92" s="34" t="n"/>
      <c r="D92" s="34" t="n"/>
      <c r="E92" s="35" t="n"/>
      <c r="F92" s="35" t="n"/>
      <c r="G92" s="41" t="n"/>
      <c r="H92" s="34" t="n"/>
      <c r="I92" s="36" t="n"/>
      <c r="J92" s="37" t="n"/>
    </row>
    <row r="93" ht="15" customHeight="1" s="62">
      <c r="A93" s="54" t="n"/>
      <c r="B93" s="33" t="n"/>
      <c r="C93" s="34" t="n"/>
      <c r="D93" s="34" t="n"/>
      <c r="E93" s="35" t="n"/>
      <c r="F93" s="35" t="n"/>
      <c r="G93" s="41" t="n"/>
      <c r="H93" s="34" t="n"/>
      <c r="I93" s="36" t="n"/>
      <c r="J93" s="37" t="n"/>
    </row>
    <row r="94" ht="15" customHeight="1" s="62">
      <c r="A94" s="54" t="n"/>
      <c r="B94" s="33" t="n"/>
      <c r="C94" s="34" t="n"/>
      <c r="D94" s="34" t="n"/>
      <c r="E94" s="35" t="n"/>
      <c r="F94" s="35" t="n"/>
      <c r="G94" s="41" t="n"/>
      <c r="H94" s="34" t="n"/>
      <c r="I94" s="36" t="n"/>
      <c r="J94" s="37" t="n"/>
    </row>
    <row r="95" ht="15" customHeight="1" s="62">
      <c r="A95" s="54" t="n"/>
      <c r="B95" s="33" t="n"/>
      <c r="C95" s="34" t="n"/>
      <c r="D95" s="34" t="n"/>
      <c r="E95" s="35" t="n"/>
      <c r="F95" s="35" t="n"/>
      <c r="G95" s="41" t="n"/>
      <c r="H95" s="34" t="n"/>
      <c r="I95" s="36" t="n"/>
      <c r="J95" s="37" t="n"/>
    </row>
    <row r="96" ht="15" customHeight="1" s="62">
      <c r="A96" s="54" t="n"/>
      <c r="B96" s="33" t="n"/>
      <c r="C96" s="34" t="n"/>
      <c r="D96" s="34" t="n"/>
      <c r="E96" s="35" t="n"/>
      <c r="F96" s="35" t="n"/>
      <c r="G96" s="41" t="n"/>
      <c r="H96" s="34" t="n"/>
      <c r="I96" s="36" t="n"/>
      <c r="J96" s="37" t="n"/>
    </row>
    <row r="97" ht="15" customHeight="1" s="62">
      <c r="A97" s="54" t="n"/>
      <c r="B97" s="33" t="n"/>
      <c r="C97" s="34" t="n"/>
      <c r="D97" s="34" t="n"/>
      <c r="E97" s="35" t="n"/>
      <c r="F97" s="35" t="n"/>
      <c r="G97" s="41" t="n"/>
      <c r="H97" s="34" t="n"/>
      <c r="I97" s="36" t="n"/>
      <c r="J97" s="37" t="n"/>
    </row>
    <row r="98" ht="15" customHeight="1" s="62">
      <c r="A98" s="54" t="n"/>
      <c r="B98" s="33" t="n"/>
      <c r="C98" s="34" t="n"/>
      <c r="D98" s="34" t="n"/>
      <c r="E98" s="35" t="n"/>
      <c r="F98" s="35" t="n"/>
      <c r="G98" s="41" t="n"/>
      <c r="H98" s="34" t="n"/>
      <c r="I98" s="36" t="n"/>
      <c r="J98" s="37" t="n"/>
    </row>
    <row r="99" ht="15" customHeight="1" s="62">
      <c r="A99" s="54" t="n"/>
      <c r="B99" s="33" t="n"/>
      <c r="C99" s="34" t="n"/>
      <c r="D99" s="34" t="n"/>
      <c r="E99" s="35" t="n"/>
      <c r="F99" s="35" t="n"/>
      <c r="G99" s="41" t="n"/>
      <c r="H99" s="34" t="n"/>
      <c r="I99" s="36" t="n"/>
      <c r="J99" s="37" t="n"/>
    </row>
    <row r="100" ht="15" customHeight="1" s="62">
      <c r="A100" s="54" t="n"/>
      <c r="B100" s="33" t="n"/>
      <c r="C100" s="34" t="n"/>
      <c r="D100" s="34" t="n"/>
      <c r="E100" s="35" t="n"/>
      <c r="F100" s="35" t="n"/>
      <c r="G100" s="41" t="n"/>
      <c r="H100" s="34" t="n"/>
      <c r="I100" s="36" t="n"/>
      <c r="J100" s="37" t="n"/>
    </row>
    <row r="101" ht="15" customHeight="1" s="62">
      <c r="A101" s="54" t="n"/>
      <c r="B101" s="33" t="n"/>
      <c r="C101" s="34" t="n"/>
      <c r="D101" s="34" t="n"/>
      <c r="E101" s="35" t="n"/>
      <c r="F101" s="35" t="n"/>
      <c r="G101" s="41" t="n"/>
      <c r="H101" s="34" t="n"/>
      <c r="I101" s="36" t="n"/>
      <c r="J101" s="37" t="n"/>
    </row>
    <row r="102" ht="15" customHeight="1" s="62">
      <c r="A102" s="54" t="n"/>
      <c r="B102" s="33" t="n"/>
      <c r="C102" s="34" t="n"/>
      <c r="D102" s="34" t="n"/>
      <c r="E102" s="35" t="n"/>
      <c r="F102" s="35" t="n"/>
      <c r="G102" s="41" t="n"/>
      <c r="H102" s="34" t="n"/>
      <c r="I102" s="36" t="n"/>
      <c r="J102" s="37" t="n"/>
    </row>
    <row r="103" ht="15" customHeight="1" s="62">
      <c r="A103" s="54" t="n"/>
      <c r="B103" s="33" t="n"/>
      <c r="C103" s="34" t="n"/>
      <c r="D103" s="34" t="n"/>
      <c r="E103" s="35" t="n"/>
      <c r="F103" s="35" t="n"/>
      <c r="G103" s="41" t="n"/>
      <c r="H103" s="34" t="n"/>
      <c r="I103" s="36" t="n"/>
      <c r="J103" s="37" t="n"/>
    </row>
    <row r="104" ht="15" customHeight="1" s="62">
      <c r="A104" s="54" t="n"/>
      <c r="B104" s="33" t="n"/>
      <c r="C104" s="34" t="n"/>
      <c r="D104" s="34" t="n"/>
      <c r="E104" s="35" t="n"/>
      <c r="F104" s="35" t="n"/>
      <c r="G104" s="41" t="n"/>
      <c r="H104" s="34" t="n"/>
      <c r="I104" s="36" t="n"/>
      <c r="J104" s="37" t="n"/>
    </row>
    <row r="105" ht="15" customHeight="1" s="62">
      <c r="A105" s="54" t="n"/>
      <c r="B105" s="33" t="n"/>
      <c r="C105" s="34" t="n"/>
      <c r="D105" s="34" t="n"/>
      <c r="E105" s="35" t="n"/>
      <c r="F105" s="35" t="n"/>
      <c r="G105" s="41" t="n"/>
      <c r="H105" s="34" t="n"/>
      <c r="I105" s="36" t="n"/>
      <c r="J105" s="37" t="n"/>
    </row>
    <row r="106" ht="15" customHeight="1" s="62">
      <c r="A106" s="54" t="n"/>
      <c r="B106" s="33" t="n"/>
      <c r="C106" s="34" t="n"/>
      <c r="D106" s="34" t="n"/>
      <c r="E106" s="35" t="n"/>
      <c r="F106" s="35" t="n"/>
      <c r="G106" s="41" t="n"/>
      <c r="H106" s="34" t="n"/>
      <c r="I106" s="36" t="n"/>
      <c r="J106" s="37" t="n"/>
    </row>
    <row r="107" ht="15" customHeight="1" s="62">
      <c r="A107" s="54" t="n"/>
      <c r="B107" s="33" t="n"/>
      <c r="C107" s="34" t="n"/>
      <c r="D107" s="34" t="n"/>
      <c r="E107" s="35" t="n"/>
      <c r="F107" s="35" t="n"/>
      <c r="G107" s="41" t="n"/>
      <c r="H107" s="34" t="n"/>
      <c r="I107" s="36" t="n"/>
      <c r="J107" s="37" t="n"/>
    </row>
    <row r="108" ht="15" customHeight="1" s="62">
      <c r="A108" s="54" t="n"/>
      <c r="B108" s="33" t="n"/>
      <c r="C108" s="34" t="n"/>
      <c r="D108" s="34" t="n"/>
      <c r="E108" s="35" t="n"/>
      <c r="F108" s="35" t="n"/>
      <c r="G108" s="41" t="n"/>
      <c r="H108" s="34" t="n"/>
      <c r="I108" s="36" t="n"/>
      <c r="J108" s="37" t="n"/>
    </row>
    <row r="109" ht="15" customHeight="1" s="62">
      <c r="A109" s="54" t="n"/>
      <c r="B109" s="33" t="n"/>
      <c r="C109" s="34" t="n"/>
      <c r="D109" s="34" t="n"/>
      <c r="E109" s="35" t="n"/>
      <c r="F109" s="35" t="n"/>
      <c r="G109" s="41" t="n"/>
      <c r="H109" s="34" t="n"/>
      <c r="I109" s="36" t="n"/>
      <c r="J109" s="37" t="n"/>
    </row>
    <row r="110" ht="15" customHeight="1" s="62">
      <c r="A110" s="54" t="n"/>
      <c r="B110" s="33" t="n"/>
      <c r="C110" s="34" t="n"/>
      <c r="D110" s="34" t="n"/>
      <c r="E110" s="35" t="n"/>
      <c r="F110" s="35" t="n"/>
      <c r="G110" s="41" t="n"/>
      <c r="H110" s="34" t="n"/>
      <c r="I110" s="36" t="n"/>
      <c r="J110" s="37" t="n"/>
    </row>
    <row r="111" ht="15" customHeight="1" s="62">
      <c r="A111" s="54" t="n"/>
      <c r="B111" s="33" t="n"/>
      <c r="C111" s="34" t="n"/>
      <c r="D111" s="34" t="n"/>
      <c r="E111" s="35" t="n"/>
      <c r="F111" s="35" t="n"/>
      <c r="G111" s="41" t="n"/>
      <c r="H111" s="34" t="n"/>
      <c r="I111" s="36" t="n"/>
      <c r="J111" s="37" t="n"/>
    </row>
    <row r="112" ht="15" customHeight="1" s="62">
      <c r="A112" s="54" t="n"/>
      <c r="B112" s="33" t="n"/>
      <c r="C112" s="34" t="n"/>
      <c r="D112" s="34" t="n"/>
      <c r="E112" s="35" t="n"/>
      <c r="F112" s="35" t="n"/>
      <c r="G112" s="41" t="n"/>
      <c r="H112" s="34" t="n"/>
      <c r="I112" s="36" t="n"/>
      <c r="J112" s="37" t="n"/>
    </row>
    <row r="113" ht="15" customHeight="1" s="62">
      <c r="A113" s="54" t="n"/>
      <c r="B113" s="33" t="n"/>
      <c r="C113" s="34" t="n"/>
      <c r="D113" s="34" t="n"/>
      <c r="E113" s="35" t="n"/>
      <c r="F113" s="35" t="n"/>
      <c r="G113" s="41" t="n"/>
      <c r="H113" s="34" t="n"/>
      <c r="I113" s="36" t="n"/>
      <c r="J113" s="37" t="n"/>
    </row>
    <row r="114" ht="15" customHeight="1" s="62">
      <c r="A114" s="54" t="n"/>
      <c r="B114" s="33" t="n"/>
      <c r="C114" s="34" t="n"/>
      <c r="D114" s="34" t="n"/>
      <c r="E114" s="35" t="n"/>
      <c r="F114" s="35" t="n"/>
      <c r="G114" s="41" t="n"/>
      <c r="H114" s="34" t="n"/>
      <c r="I114" s="36" t="n"/>
      <c r="J114" s="37" t="n"/>
    </row>
    <row r="115" ht="15" customHeight="1" s="62">
      <c r="A115" s="54" t="n"/>
      <c r="B115" s="33" t="n"/>
      <c r="C115" s="34" t="n"/>
      <c r="D115" s="34" t="n"/>
      <c r="E115" s="35" t="n"/>
      <c r="F115" s="35" t="n"/>
      <c r="G115" s="41" t="n"/>
      <c r="H115" s="34" t="n"/>
      <c r="I115" s="36" t="n"/>
      <c r="J115" s="37" t="n"/>
    </row>
    <row r="116" ht="15" customHeight="1" s="62">
      <c r="A116" s="54" t="n"/>
      <c r="B116" s="33" t="n"/>
      <c r="C116" s="34" t="n"/>
      <c r="D116" s="34" t="n"/>
      <c r="E116" s="35" t="n"/>
      <c r="F116" s="35" t="n"/>
      <c r="G116" s="41" t="n"/>
      <c r="H116" s="34" t="n"/>
      <c r="I116" s="36" t="n"/>
      <c r="J116" s="37" t="n"/>
    </row>
    <row r="117" ht="15" customHeight="1" s="62">
      <c r="A117" s="54" t="n"/>
      <c r="B117" s="33" t="n"/>
      <c r="C117" s="34" t="n"/>
      <c r="D117" s="34" t="n"/>
      <c r="E117" s="35" t="n"/>
      <c r="F117" s="35" t="n"/>
      <c r="G117" s="41" t="n"/>
      <c r="H117" s="34" t="n"/>
      <c r="I117" s="36" t="n"/>
      <c r="J117" s="37" t="n"/>
    </row>
    <row r="118" ht="15" customHeight="1" s="62">
      <c r="A118" s="54" t="n"/>
      <c r="B118" s="33" t="n"/>
      <c r="C118" s="34" t="n"/>
      <c r="D118" s="34" t="n"/>
      <c r="E118" s="35" t="n"/>
      <c r="F118" s="35" t="n"/>
      <c r="G118" s="41" t="n"/>
      <c r="H118" s="34" t="n"/>
      <c r="I118" s="36" t="n"/>
      <c r="J118" s="37" t="n"/>
    </row>
    <row r="119" ht="15" customHeight="1" s="62">
      <c r="A119" s="54" t="n"/>
      <c r="B119" s="33" t="n"/>
      <c r="C119" s="34" t="n"/>
      <c r="D119" s="34" t="n"/>
      <c r="E119" s="35" t="n"/>
      <c r="F119" s="35" t="n"/>
      <c r="G119" s="41" t="n"/>
      <c r="H119" s="34" t="n"/>
      <c r="I119" s="36" t="n"/>
      <c r="J119" s="37" t="n"/>
    </row>
    <row r="120" ht="15" customHeight="1" s="62">
      <c r="A120" s="54" t="n"/>
      <c r="B120" s="33" t="n"/>
      <c r="C120" s="34" t="n"/>
      <c r="D120" s="34" t="n"/>
      <c r="E120" s="35" t="n"/>
      <c r="F120" s="35" t="n"/>
      <c r="G120" s="41" t="n"/>
      <c r="H120" s="34" t="n"/>
      <c r="I120" s="36" t="n"/>
      <c r="J120" s="37" t="n"/>
    </row>
    <row r="121" ht="15" customHeight="1" s="62">
      <c r="A121" s="54" t="n"/>
      <c r="B121" s="33" t="n"/>
      <c r="C121" s="34" t="n"/>
      <c r="D121" s="34" t="n"/>
      <c r="E121" s="35" t="n"/>
      <c r="F121" s="35" t="n"/>
      <c r="G121" s="41" t="n"/>
      <c r="H121" s="34" t="n"/>
      <c r="I121" s="36" t="n"/>
      <c r="J121" s="37" t="n"/>
    </row>
    <row r="122" ht="15" customHeight="1" s="62">
      <c r="A122" s="54" t="n"/>
      <c r="B122" s="33" t="n"/>
      <c r="C122" s="34" t="n"/>
      <c r="D122" s="34" t="n"/>
      <c r="E122" s="35" t="n"/>
      <c r="F122" s="35" t="n"/>
      <c r="G122" s="41" t="n"/>
      <c r="H122" s="34" t="n"/>
      <c r="I122" s="36" t="n"/>
      <c r="J122" s="37" t="n"/>
    </row>
    <row r="123" ht="15" customHeight="1" s="62">
      <c r="A123" s="54" t="n"/>
      <c r="B123" s="33" t="n"/>
      <c r="C123" s="34" t="n"/>
      <c r="D123" s="34" t="n"/>
      <c r="E123" s="35" t="n"/>
      <c r="F123" s="35" t="n"/>
      <c r="G123" s="41" t="n"/>
      <c r="H123" s="34" t="n"/>
      <c r="I123" s="36" t="n"/>
      <c r="J123" s="37" t="n"/>
    </row>
    <row r="124" ht="15" customHeight="1" s="62">
      <c r="A124" s="54" t="n"/>
      <c r="B124" s="33" t="n"/>
      <c r="C124" s="34" t="n"/>
      <c r="D124" s="34" t="n"/>
      <c r="E124" s="35" t="n"/>
      <c r="F124" s="35" t="n"/>
      <c r="G124" s="41" t="n"/>
      <c r="H124" s="34" t="n"/>
      <c r="I124" s="36" t="n"/>
      <c r="J124" s="37" t="n"/>
    </row>
    <row r="125" ht="15" customHeight="1" s="62">
      <c r="A125" s="54" t="n"/>
      <c r="B125" s="33" t="n"/>
      <c r="C125" s="34" t="n"/>
      <c r="D125" s="34" t="n"/>
      <c r="E125" s="35" t="n"/>
      <c r="F125" s="35" t="n"/>
      <c r="G125" s="41" t="n"/>
      <c r="H125" s="34" t="n"/>
      <c r="I125" s="36" t="n"/>
      <c r="J125" s="37" t="n"/>
    </row>
    <row r="126" ht="15" customHeight="1" s="62">
      <c r="A126" s="54" t="n"/>
      <c r="B126" s="33" t="n"/>
      <c r="C126" s="34" t="n"/>
      <c r="D126" s="34" t="n"/>
      <c r="E126" s="35" t="n"/>
      <c r="F126" s="35" t="n"/>
      <c r="G126" s="41" t="n"/>
      <c r="H126" s="34" t="n"/>
      <c r="I126" s="36" t="n"/>
      <c r="J126" s="37" t="n"/>
    </row>
    <row r="127" ht="15" customHeight="1" s="62">
      <c r="A127" s="54" t="n"/>
      <c r="B127" s="33" t="n"/>
      <c r="C127" s="34" t="n"/>
      <c r="D127" s="34" t="n"/>
      <c r="E127" s="35" t="n"/>
      <c r="F127" s="35" t="n"/>
      <c r="G127" s="41" t="n"/>
      <c r="H127" s="34" t="n"/>
      <c r="I127" s="36" t="n"/>
      <c r="J127" s="37" t="n"/>
    </row>
    <row r="128" ht="15" customHeight="1" s="62">
      <c r="A128" s="54" t="n"/>
      <c r="B128" s="33" t="n"/>
      <c r="C128" s="34" t="n"/>
      <c r="D128" s="34" t="n"/>
      <c r="E128" s="35" t="n"/>
      <c r="F128" s="35" t="n"/>
      <c r="G128" s="41" t="n"/>
      <c r="H128" s="34" t="n"/>
      <c r="I128" s="36" t="n"/>
      <c r="J128" s="37" t="n"/>
    </row>
    <row r="129" ht="15" customHeight="1" s="62">
      <c r="A129" s="54" t="n"/>
      <c r="B129" s="33" t="n"/>
      <c r="C129" s="34" t="n"/>
      <c r="D129" s="34" t="n"/>
      <c r="E129" s="35" t="n"/>
      <c r="F129" s="35" t="n"/>
      <c r="G129" s="41" t="n"/>
      <c r="H129" s="34" t="n"/>
      <c r="I129" s="36" t="n"/>
      <c r="J129" s="37" t="n"/>
    </row>
    <row r="130" ht="15" customHeight="1" s="62">
      <c r="A130" s="54" t="n"/>
      <c r="B130" s="33" t="n"/>
      <c r="C130" s="34" t="n"/>
      <c r="D130" s="34" t="n"/>
      <c r="E130" s="35" t="n"/>
      <c r="F130" s="35" t="n"/>
      <c r="G130" s="41" t="n"/>
      <c r="H130" s="34" t="n"/>
      <c r="I130" s="36" t="n"/>
      <c r="J130" s="37" t="n"/>
    </row>
    <row r="131" ht="15" customHeight="1" s="62">
      <c r="A131" s="54" t="n"/>
      <c r="B131" s="33" t="n"/>
      <c r="C131" s="34" t="n"/>
      <c r="D131" s="34" t="n"/>
      <c r="E131" s="35" t="n"/>
      <c r="F131" s="35" t="n"/>
      <c r="G131" s="41" t="n"/>
      <c r="H131" s="34" t="n"/>
      <c r="I131" s="36" t="n"/>
      <c r="J131" s="37" t="n"/>
    </row>
    <row r="132" ht="15" customHeight="1" s="62">
      <c r="A132" s="54" t="n"/>
      <c r="B132" s="33" t="n"/>
      <c r="C132" s="34" t="n"/>
      <c r="D132" s="34" t="n"/>
      <c r="E132" s="35" t="n"/>
      <c r="F132" s="35" t="n"/>
      <c r="G132" s="41" t="n"/>
      <c r="H132" s="34" t="n"/>
      <c r="I132" s="36" t="n"/>
      <c r="J132" s="37" t="n"/>
    </row>
    <row r="133" ht="15" customHeight="1" s="62">
      <c r="A133" s="54" t="n"/>
      <c r="B133" s="33" t="n"/>
      <c r="C133" s="34" t="n"/>
      <c r="D133" s="34" t="n"/>
      <c r="E133" s="35" t="n"/>
      <c r="F133" s="35" t="n"/>
      <c r="G133" s="41" t="n"/>
      <c r="H133" s="34" t="n"/>
      <c r="I133" s="36" t="n"/>
      <c r="J133" s="37" t="n"/>
    </row>
    <row r="134" ht="15" customHeight="1" s="62">
      <c r="A134" s="54" t="n"/>
      <c r="B134" s="33" t="n"/>
      <c r="C134" s="34" t="n"/>
      <c r="D134" s="34" t="n"/>
      <c r="E134" s="35" t="n"/>
      <c r="F134" s="35" t="n"/>
      <c r="G134" s="41" t="n"/>
      <c r="H134" s="34" t="n"/>
      <c r="I134" s="36" t="n"/>
      <c r="J134" s="37" t="n"/>
    </row>
    <row r="135" ht="15" customHeight="1" s="62">
      <c r="A135" s="54" t="n"/>
      <c r="B135" s="33" t="n"/>
      <c r="C135" s="34" t="n"/>
      <c r="D135" s="34" t="n"/>
      <c r="E135" s="35" t="n"/>
      <c r="F135" s="35" t="n"/>
      <c r="G135" s="41" t="n"/>
      <c r="H135" s="34" t="n"/>
      <c r="I135" s="36" t="n"/>
      <c r="J135" s="37" t="n"/>
    </row>
    <row r="136" ht="15" customHeight="1" s="62">
      <c r="A136" s="54" t="n"/>
      <c r="B136" s="33" t="n"/>
      <c r="C136" s="34" t="n"/>
      <c r="D136" s="34" t="n"/>
      <c r="E136" s="35" t="n"/>
      <c r="F136" s="35" t="n"/>
      <c r="G136" s="41" t="n"/>
      <c r="H136" s="34" t="n"/>
      <c r="I136" s="36" t="n"/>
      <c r="J136" s="37" t="n"/>
    </row>
    <row r="137" ht="15" customHeight="1" s="62">
      <c r="A137" s="54" t="n"/>
      <c r="B137" s="33" t="n"/>
      <c r="C137" s="34" t="n"/>
      <c r="D137" s="34" t="n"/>
      <c r="E137" s="35" t="n"/>
      <c r="F137" s="35" t="n"/>
      <c r="G137" s="41" t="n"/>
      <c r="H137" s="34" t="n"/>
      <c r="I137" s="36" t="n"/>
      <c r="J137" s="37" t="n"/>
    </row>
    <row r="138" ht="15" customHeight="1" s="62">
      <c r="A138" s="54" t="n"/>
      <c r="B138" s="33" t="n"/>
      <c r="C138" s="34" t="n"/>
      <c r="D138" s="34" t="n"/>
      <c r="E138" s="35" t="n"/>
      <c r="F138" s="35" t="n"/>
      <c r="G138" s="41" t="n"/>
      <c r="H138" s="34" t="n"/>
      <c r="I138" s="36" t="n"/>
      <c r="J138" s="37" t="n"/>
    </row>
    <row r="139" ht="15" customHeight="1" s="62">
      <c r="A139" s="54" t="n"/>
      <c r="B139" s="33" t="n"/>
      <c r="C139" s="34" t="n"/>
      <c r="D139" s="34" t="n"/>
      <c r="E139" s="35" t="n"/>
      <c r="F139" s="35" t="n"/>
      <c r="G139" s="41" t="n"/>
      <c r="H139" s="34" t="n"/>
      <c r="I139" s="36" t="n"/>
      <c r="J139" s="37" t="n"/>
    </row>
    <row r="140" ht="15" customHeight="1" s="62">
      <c r="A140" s="54" t="n"/>
      <c r="B140" s="33" t="n"/>
      <c r="C140" s="34" t="n"/>
      <c r="D140" s="34" t="n"/>
      <c r="E140" s="35" t="n"/>
      <c r="F140" s="35" t="n"/>
      <c r="G140" s="41" t="n"/>
      <c r="H140" s="34" t="n"/>
      <c r="I140" s="36" t="n"/>
      <c r="J140" s="37" t="n"/>
    </row>
    <row r="141" ht="15" customHeight="1" s="62">
      <c r="A141" s="54" t="n"/>
      <c r="B141" s="33" t="n"/>
      <c r="C141" s="34" t="n"/>
      <c r="D141" s="34" t="n"/>
      <c r="E141" s="35" t="n"/>
      <c r="F141" s="35" t="n"/>
      <c r="G141" s="41" t="n"/>
      <c r="H141" s="34" t="n"/>
      <c r="I141" s="36" t="n"/>
      <c r="J141" s="37" t="n"/>
    </row>
    <row r="142" ht="15" customHeight="1" s="62">
      <c r="A142" s="54" t="n"/>
      <c r="B142" s="33" t="n"/>
      <c r="C142" s="34" t="n"/>
      <c r="D142" s="34" t="n"/>
      <c r="E142" s="35" t="n"/>
      <c r="F142" s="35" t="n"/>
      <c r="G142" s="41" t="n"/>
      <c r="H142" s="34" t="n"/>
      <c r="I142" s="36" t="n"/>
      <c r="J142" s="37" t="n"/>
    </row>
    <row r="143" ht="15" customHeight="1" s="62">
      <c r="A143" s="54" t="n"/>
      <c r="B143" s="33" t="n"/>
      <c r="C143" s="34" t="n"/>
      <c r="D143" s="34" t="n"/>
      <c r="E143" s="35" t="n"/>
      <c r="F143" s="35" t="n"/>
      <c r="G143" s="41" t="n"/>
      <c r="H143" s="34" t="n"/>
      <c r="I143" s="36" t="n"/>
      <c r="J143" s="37" t="n"/>
    </row>
    <row r="144" ht="15" customHeight="1" s="62">
      <c r="A144" s="54" t="n"/>
      <c r="B144" s="33" t="n"/>
      <c r="C144" s="34" t="n"/>
      <c r="D144" s="34" t="n"/>
      <c r="E144" s="35" t="n"/>
      <c r="F144" s="35" t="n"/>
      <c r="G144" s="41" t="n"/>
      <c r="H144" s="34" t="n"/>
      <c r="I144" s="36" t="n"/>
      <c r="J144" s="37" t="n"/>
    </row>
    <row r="145" ht="15" customHeight="1" s="62">
      <c r="A145" s="54" t="n"/>
      <c r="B145" s="33" t="n"/>
      <c r="C145" s="34" t="n"/>
      <c r="D145" s="34" t="n"/>
      <c r="E145" s="35" t="n"/>
      <c r="F145" s="35" t="n"/>
      <c r="G145" s="41" t="n"/>
      <c r="H145" s="34" t="n"/>
      <c r="I145" s="36" t="n"/>
      <c r="J145" s="37" t="n"/>
    </row>
    <row r="146" ht="15" customHeight="1" s="62">
      <c r="A146" s="54" t="n"/>
      <c r="B146" s="33" t="n"/>
      <c r="C146" s="34" t="n"/>
      <c r="D146" s="34" t="n"/>
      <c r="E146" s="35" t="n"/>
      <c r="F146" s="35" t="n"/>
      <c r="G146" s="41" t="n"/>
      <c r="H146" s="34" t="n"/>
      <c r="I146" s="36" t="n"/>
      <c r="J146" s="37" t="n"/>
    </row>
    <row r="147" ht="15" customHeight="1" s="62">
      <c r="A147" s="54" t="n"/>
      <c r="B147" s="33" t="n"/>
      <c r="C147" s="34" t="n"/>
      <c r="D147" s="34" t="n"/>
      <c r="E147" s="35" t="n"/>
      <c r="F147" s="35" t="n"/>
      <c r="G147" s="41" t="n"/>
      <c r="H147" s="34" t="n"/>
      <c r="I147" s="36" t="n"/>
      <c r="J147" s="37" t="n"/>
    </row>
    <row r="148" ht="15" customHeight="1" s="62">
      <c r="A148" s="54" t="n"/>
      <c r="B148" s="33" t="n"/>
      <c r="C148" s="34" t="n"/>
      <c r="D148" s="34" t="n"/>
      <c r="E148" s="35" t="n"/>
      <c r="F148" s="35" t="n"/>
      <c r="G148" s="41" t="n"/>
      <c r="H148" s="34" t="n"/>
      <c r="I148" s="36" t="n"/>
      <c r="J148" s="37" t="n"/>
    </row>
    <row r="149" ht="15" customHeight="1" s="62">
      <c r="A149" s="54" t="n"/>
      <c r="B149" s="33" t="n"/>
      <c r="C149" s="34" t="n"/>
      <c r="D149" s="34" t="n"/>
      <c r="E149" s="35" t="n"/>
      <c r="F149" s="35" t="n"/>
      <c r="G149" s="41" t="n"/>
      <c r="H149" s="34" t="n"/>
      <c r="I149" s="36" t="n"/>
      <c r="J149" s="37" t="n"/>
    </row>
    <row r="150" ht="15" customHeight="1" s="62">
      <c r="A150" s="54" t="n"/>
      <c r="B150" s="33" t="n"/>
      <c r="C150" s="34" t="n"/>
      <c r="D150" s="34" t="n"/>
      <c r="E150" s="35" t="n"/>
      <c r="F150" s="35" t="n"/>
      <c r="G150" s="41" t="n"/>
      <c r="H150" s="34" t="n"/>
      <c r="I150" s="36" t="n"/>
      <c r="J150" s="37" t="n"/>
    </row>
    <row r="151" ht="15" customHeight="1" s="62">
      <c r="A151" s="54" t="n"/>
      <c r="B151" s="33" t="n"/>
      <c r="C151" s="34" t="n"/>
      <c r="D151" s="34" t="n"/>
      <c r="E151" s="35" t="n"/>
      <c r="F151" s="35" t="n"/>
      <c r="G151" s="41" t="n"/>
      <c r="H151" s="34" t="n"/>
      <c r="I151" s="36" t="n"/>
      <c r="J151" s="37" t="n"/>
    </row>
    <row r="152" ht="15" customHeight="1" s="62">
      <c r="A152" s="54" t="n"/>
      <c r="B152" s="33" t="n"/>
      <c r="C152" s="34" t="n"/>
      <c r="D152" s="34" t="n"/>
      <c r="E152" s="35" t="n"/>
      <c r="F152" s="35" t="n"/>
      <c r="G152" s="41" t="n"/>
      <c r="H152" s="34" t="n"/>
      <c r="I152" s="36" t="n"/>
      <c r="J152" s="37" t="n"/>
    </row>
    <row r="153" ht="15" customHeight="1" s="62">
      <c r="A153" s="54" t="n"/>
      <c r="B153" s="33" t="n"/>
      <c r="C153" s="34" t="n"/>
      <c r="D153" s="34" t="n"/>
      <c r="E153" s="35" t="n"/>
      <c r="F153" s="35" t="n"/>
      <c r="G153" s="41" t="n"/>
      <c r="H153" s="34" t="n"/>
      <c r="I153" s="36" t="n"/>
      <c r="J153" s="37" t="n"/>
    </row>
    <row r="154" ht="15" customHeight="1" s="62">
      <c r="A154" s="54" t="n"/>
      <c r="B154" s="33" t="n"/>
      <c r="C154" s="34" t="n"/>
      <c r="D154" s="34" t="n"/>
      <c r="E154" s="35" t="n"/>
      <c r="F154" s="35" t="n"/>
      <c r="G154" s="41" t="n"/>
      <c r="H154" s="34" t="n"/>
      <c r="I154" s="36" t="n"/>
      <c r="J154" s="37" t="n"/>
    </row>
    <row r="155" ht="15" customHeight="1" s="62">
      <c r="A155" s="54" t="n"/>
      <c r="B155" s="33" t="n"/>
      <c r="C155" s="34" t="n"/>
      <c r="D155" s="34" t="n"/>
      <c r="E155" s="35" t="n"/>
      <c r="F155" s="35" t="n"/>
      <c r="G155" s="41" t="n"/>
      <c r="H155" s="34" t="n"/>
      <c r="I155" s="36" t="n"/>
      <c r="J155" s="37" t="n"/>
    </row>
    <row r="156" ht="15" customHeight="1" s="62">
      <c r="A156" s="54" t="n"/>
      <c r="B156" s="33" t="n"/>
      <c r="C156" s="34" t="n"/>
      <c r="D156" s="34" t="n"/>
      <c r="E156" s="35" t="n"/>
      <c r="F156" s="35" t="n"/>
      <c r="G156" s="41" t="n"/>
      <c r="H156" s="34" t="n"/>
      <c r="I156" s="36" t="n"/>
      <c r="J156" s="37" t="n"/>
    </row>
    <row r="157" ht="15" customHeight="1" s="62">
      <c r="A157" s="54" t="n"/>
      <c r="B157" s="33" t="n"/>
      <c r="C157" s="34" t="n"/>
      <c r="D157" s="34" t="n"/>
      <c r="E157" s="35" t="n"/>
      <c r="F157" s="35" t="n"/>
      <c r="G157" s="41" t="n"/>
      <c r="H157" s="34" t="n"/>
      <c r="I157" s="36" t="n"/>
      <c r="J157" s="37" t="n"/>
    </row>
    <row r="158" ht="15" customHeight="1" s="62">
      <c r="A158" s="54" t="n"/>
      <c r="B158" s="33" t="n"/>
      <c r="C158" s="34" t="n"/>
      <c r="D158" s="34" t="n"/>
      <c r="E158" s="35" t="n"/>
      <c r="F158" s="35" t="n"/>
      <c r="G158" s="41" t="n"/>
      <c r="H158" s="34" t="n"/>
      <c r="I158" s="36" t="n"/>
      <c r="J158" s="37" t="n"/>
    </row>
    <row r="159" ht="15" customHeight="1" s="62">
      <c r="A159" s="54" t="n"/>
      <c r="B159" s="33" t="n"/>
      <c r="C159" s="34" t="n"/>
      <c r="D159" s="34" t="n"/>
      <c r="E159" s="35" t="n"/>
      <c r="F159" s="35" t="n"/>
      <c r="G159" s="41" t="n"/>
      <c r="H159" s="34" t="n"/>
      <c r="I159" s="36" t="n"/>
      <c r="J159" s="37" t="n"/>
    </row>
    <row r="160" ht="15" customHeight="1" s="62">
      <c r="A160" s="54" t="n"/>
      <c r="B160" s="33" t="n"/>
      <c r="C160" s="34" t="n"/>
      <c r="D160" s="34" t="n"/>
      <c r="E160" s="35" t="n"/>
      <c r="F160" s="35" t="n"/>
      <c r="G160" s="41" t="n"/>
      <c r="H160" s="34" t="n"/>
      <c r="I160" s="36" t="n"/>
      <c r="J160" s="37" t="n"/>
    </row>
    <row r="161" ht="15" customHeight="1" s="62">
      <c r="A161" s="54" t="n"/>
      <c r="B161" s="33" t="n"/>
      <c r="C161" s="34" t="n"/>
      <c r="D161" s="34" t="n"/>
      <c r="E161" s="35" t="n"/>
      <c r="F161" s="35" t="n"/>
      <c r="G161" s="41" t="n"/>
      <c r="H161" s="34" t="n"/>
      <c r="I161" s="36" t="n"/>
      <c r="J161" s="37" t="n"/>
    </row>
    <row r="162" ht="15" customHeight="1" s="62">
      <c r="A162" s="54" t="n"/>
      <c r="B162" s="33" t="n"/>
      <c r="C162" s="34" t="n"/>
      <c r="D162" s="34" t="n"/>
      <c r="E162" s="35" t="n"/>
      <c r="F162" s="35" t="n"/>
      <c r="G162" s="41" t="n"/>
      <c r="H162" s="34" t="n"/>
      <c r="I162" s="36" t="n"/>
      <c r="J162" s="37" t="n"/>
    </row>
    <row r="163" ht="15" customHeight="1" s="62">
      <c r="A163" s="54" t="n"/>
      <c r="B163" s="33" t="n"/>
      <c r="C163" s="34" t="n"/>
      <c r="D163" s="34" t="n"/>
      <c r="E163" s="35" t="n"/>
      <c r="F163" s="35" t="n"/>
      <c r="G163" s="41" t="n"/>
      <c r="H163" s="34" t="n"/>
      <c r="I163" s="36" t="n"/>
      <c r="J163" s="37" t="n"/>
    </row>
    <row r="164" ht="15" customHeight="1" s="62">
      <c r="A164" s="54" t="n"/>
      <c r="B164" s="33" t="n"/>
      <c r="C164" s="34" t="n"/>
      <c r="D164" s="34" t="n"/>
      <c r="E164" s="35" t="n"/>
      <c r="F164" s="35" t="n"/>
      <c r="G164" s="41" t="n"/>
      <c r="H164" s="34" t="n"/>
      <c r="I164" s="36" t="n"/>
      <c r="J164" s="37" t="n"/>
    </row>
    <row r="165" ht="15" customHeight="1" s="62">
      <c r="A165" s="54" t="n"/>
      <c r="B165" s="33" t="n"/>
      <c r="C165" s="34" t="n"/>
      <c r="D165" s="34" t="n"/>
      <c r="E165" s="35" t="n"/>
      <c r="F165" s="35" t="n"/>
      <c r="G165" s="41" t="n"/>
      <c r="H165" s="34" t="n"/>
      <c r="I165" s="36" t="n"/>
      <c r="J165" s="37" t="n"/>
    </row>
    <row r="166" ht="15" customHeight="1" s="62">
      <c r="A166" s="54" t="n"/>
      <c r="B166" s="33" t="n"/>
      <c r="C166" s="34" t="n"/>
      <c r="D166" s="34" t="n"/>
      <c r="E166" s="35" t="n"/>
      <c r="F166" s="35" t="n"/>
      <c r="G166" s="41" t="n"/>
      <c r="H166" s="34" t="n"/>
      <c r="I166" s="36" t="n"/>
      <c r="J166" s="37" t="n"/>
    </row>
    <row r="167" ht="15" customHeight="1" s="62">
      <c r="A167" s="54" t="n"/>
      <c r="B167" s="33" t="n"/>
      <c r="C167" s="34" t="n"/>
      <c r="D167" s="34" t="n"/>
      <c r="E167" s="35" t="n"/>
      <c r="F167" s="35" t="n"/>
      <c r="G167" s="41" t="n"/>
      <c r="H167" s="34" t="n"/>
      <c r="I167" s="36" t="n"/>
      <c r="J167" s="37" t="n"/>
    </row>
    <row r="168" ht="15" customHeight="1" s="62">
      <c r="A168" s="54" t="n"/>
      <c r="B168" s="33" t="n"/>
      <c r="C168" s="34" t="n"/>
      <c r="D168" s="34" t="n"/>
      <c r="E168" s="35" t="n"/>
      <c r="F168" s="35" t="n"/>
      <c r="G168" s="41" t="n"/>
      <c r="H168" s="34" t="n"/>
      <c r="I168" s="36" t="n"/>
      <c r="J168" s="37" t="n"/>
    </row>
    <row r="169" ht="15" customHeight="1" s="62">
      <c r="A169" s="54" t="n"/>
      <c r="B169" s="33" t="n"/>
      <c r="C169" s="34" t="n"/>
      <c r="D169" s="34" t="n"/>
      <c r="E169" s="35" t="n"/>
      <c r="F169" s="35" t="n"/>
      <c r="G169" s="41" t="n"/>
      <c r="H169" s="34" t="n"/>
      <c r="I169" s="36" t="n"/>
      <c r="J169" s="37" t="n"/>
    </row>
    <row r="170" ht="15" customHeight="1" s="62">
      <c r="A170" s="54" t="n"/>
      <c r="B170" s="33" t="n"/>
      <c r="C170" s="34" t="n"/>
      <c r="D170" s="34" t="n"/>
      <c r="E170" s="35" t="n"/>
      <c r="F170" s="35" t="n"/>
      <c r="G170" s="41" t="n"/>
      <c r="H170" s="34" t="n"/>
      <c r="I170" s="36" t="n"/>
      <c r="J170" s="37" t="n"/>
    </row>
    <row r="171" ht="15" customHeight="1" s="62">
      <c r="A171" s="54" t="n"/>
      <c r="B171" s="33" t="n"/>
      <c r="C171" s="34" t="n"/>
      <c r="D171" s="34" t="n"/>
      <c r="E171" s="35" t="n"/>
      <c r="F171" s="35" t="n"/>
      <c r="G171" s="41" t="n"/>
      <c r="H171" s="34" t="n"/>
      <c r="I171" s="36" t="n"/>
      <c r="J171" s="37" t="n"/>
    </row>
    <row r="172" ht="15" customHeight="1" s="62">
      <c r="A172" s="54" t="n"/>
      <c r="B172" s="33" t="n"/>
      <c r="C172" s="34" t="n"/>
      <c r="D172" s="34" t="n"/>
      <c r="E172" s="35" t="n"/>
      <c r="F172" s="35" t="n"/>
      <c r="G172" s="41" t="n"/>
      <c r="H172" s="34" t="n"/>
      <c r="I172" s="36" t="n"/>
      <c r="J172" s="37" t="n"/>
    </row>
    <row r="173" ht="15" customHeight="1" s="62">
      <c r="A173" s="54" t="n"/>
      <c r="B173" s="33" t="n"/>
      <c r="C173" s="34" t="n"/>
      <c r="D173" s="34" t="n"/>
      <c r="E173" s="35" t="n"/>
      <c r="F173" s="35" t="n"/>
      <c r="G173" s="41" t="n"/>
      <c r="H173" s="34" t="n"/>
      <c r="I173" s="36" t="n"/>
      <c r="J173" s="37" t="n"/>
    </row>
    <row r="174" ht="15" customHeight="1" s="62">
      <c r="A174" s="54" t="n"/>
      <c r="B174" s="33" t="n"/>
      <c r="C174" s="34" t="n"/>
      <c r="D174" s="34" t="n"/>
      <c r="E174" s="35" t="n"/>
      <c r="F174" s="35" t="n"/>
      <c r="G174" s="41" t="n"/>
      <c r="H174" s="34" t="n"/>
      <c r="I174" s="36" t="n"/>
      <c r="J174" s="37" t="n"/>
    </row>
    <row r="175" ht="15" customHeight="1" s="62">
      <c r="A175" s="54" t="n"/>
      <c r="B175" s="33" t="n"/>
      <c r="C175" s="34" t="n"/>
      <c r="D175" s="34" t="n"/>
      <c r="E175" s="35" t="n"/>
      <c r="F175" s="35" t="n"/>
      <c r="G175" s="41" t="n"/>
      <c r="H175" s="34" t="n"/>
      <c r="I175" s="36" t="n"/>
      <c r="J175" s="37" t="n"/>
    </row>
    <row r="176" ht="15" customHeight="1" s="62">
      <c r="A176" s="54" t="n"/>
      <c r="B176" s="33" t="n"/>
      <c r="C176" s="34" t="n"/>
      <c r="D176" s="34" t="n"/>
      <c r="E176" s="35" t="n"/>
      <c r="F176" s="35" t="n"/>
      <c r="G176" s="41" t="n"/>
      <c r="H176" s="34" t="n"/>
      <c r="I176" s="36" t="n"/>
      <c r="J176" s="37" t="n"/>
    </row>
    <row r="177" ht="15" customHeight="1" s="62">
      <c r="A177" s="54" t="n"/>
      <c r="B177" s="33" t="n"/>
      <c r="C177" s="34" t="n"/>
      <c r="D177" s="34" t="n"/>
      <c r="E177" s="35" t="n"/>
      <c r="F177" s="35" t="n"/>
      <c r="G177" s="41" t="n"/>
      <c r="H177" s="34" t="n"/>
      <c r="I177" s="36" t="n"/>
      <c r="J177" s="37" t="n"/>
    </row>
    <row r="178" ht="15" customHeight="1" s="62">
      <c r="A178" s="54" t="n"/>
      <c r="B178" s="33" t="n"/>
      <c r="C178" s="34" t="n"/>
      <c r="D178" s="34" t="n"/>
      <c r="E178" s="35" t="n"/>
      <c r="F178" s="35" t="n"/>
      <c r="G178" s="41" t="n"/>
      <c r="H178" s="34" t="n"/>
      <c r="I178" s="36" t="n"/>
      <c r="J178" s="37" t="n"/>
    </row>
    <row r="179" ht="15" customHeight="1" s="62">
      <c r="A179" s="54" t="n"/>
      <c r="B179" s="33" t="n"/>
      <c r="C179" s="34" t="n"/>
      <c r="D179" s="34" t="n"/>
      <c r="E179" s="35" t="n"/>
      <c r="F179" s="35" t="n"/>
      <c r="G179" s="41" t="n"/>
      <c r="H179" s="34" t="n"/>
      <c r="I179" s="36" t="n"/>
      <c r="J179" s="37" t="n"/>
    </row>
    <row r="180" ht="15" customHeight="1" s="62">
      <c r="A180" s="54" t="n"/>
      <c r="B180" s="33" t="n"/>
      <c r="C180" s="34" t="n"/>
      <c r="D180" s="34" t="n"/>
      <c r="E180" s="35" t="n"/>
      <c r="F180" s="35" t="n"/>
      <c r="G180" s="41" t="n"/>
      <c r="H180" s="34" t="n"/>
      <c r="I180" s="36" t="n"/>
      <c r="J180" s="37" t="n"/>
    </row>
    <row r="181" ht="15" customHeight="1" s="62">
      <c r="A181" s="54" t="n"/>
      <c r="B181" s="33" t="n"/>
      <c r="C181" s="34" t="n"/>
      <c r="D181" s="34" t="n"/>
      <c r="E181" s="35" t="n"/>
      <c r="F181" s="35" t="n"/>
      <c r="G181" s="41" t="n"/>
      <c r="H181" s="34" t="n"/>
      <c r="I181" s="36" t="n"/>
      <c r="J181" s="37" t="n"/>
    </row>
    <row r="182" ht="15" customHeight="1" s="62">
      <c r="A182" s="54" t="n"/>
      <c r="B182" s="33" t="n"/>
      <c r="C182" s="34" t="n"/>
      <c r="D182" s="34" t="n"/>
      <c r="E182" s="35" t="n"/>
      <c r="F182" s="35" t="n"/>
      <c r="G182" s="41" t="n"/>
      <c r="H182" s="34" t="n"/>
      <c r="I182" s="36" t="n"/>
      <c r="J182" s="37" t="n"/>
    </row>
    <row r="183" ht="15" customHeight="1" s="62">
      <c r="A183" s="54" t="n"/>
      <c r="B183" s="33" t="n"/>
      <c r="C183" s="34" t="n"/>
      <c r="D183" s="34" t="n"/>
      <c r="E183" s="35" t="n"/>
      <c r="F183" s="35" t="n"/>
      <c r="G183" s="41" t="n"/>
      <c r="H183" s="34" t="n"/>
      <c r="I183" s="36" t="n"/>
      <c r="J183" s="37" t="n"/>
    </row>
    <row r="184" ht="15" customHeight="1" s="62">
      <c r="A184" s="54" t="n"/>
      <c r="B184" s="33" t="n"/>
      <c r="C184" s="34" t="n"/>
      <c r="D184" s="34" t="n"/>
      <c r="E184" s="35" t="n"/>
      <c r="F184" s="35" t="n"/>
      <c r="G184" s="41" t="n"/>
      <c r="H184" s="34" t="n"/>
      <c r="I184" s="36" t="n"/>
      <c r="J184" s="37" t="n"/>
    </row>
    <row r="185" ht="15" customHeight="1" s="62">
      <c r="A185" s="54" t="n"/>
      <c r="B185" s="33" t="n"/>
      <c r="C185" s="34" t="n"/>
      <c r="D185" s="34" t="n"/>
      <c r="E185" s="35" t="n"/>
      <c r="F185" s="35" t="n"/>
      <c r="G185" s="41" t="n"/>
      <c r="H185" s="34" t="n"/>
      <c r="I185" s="36" t="n"/>
      <c r="J185" s="37" t="n"/>
    </row>
    <row r="186" ht="15" customHeight="1" s="62">
      <c r="A186" s="54" t="n"/>
      <c r="B186" s="33" t="n"/>
      <c r="C186" s="34" t="n"/>
      <c r="D186" s="34" t="n"/>
      <c r="E186" s="35" t="n"/>
      <c r="F186" s="35" t="n"/>
      <c r="G186" s="41" t="n"/>
      <c r="H186" s="34" t="n"/>
      <c r="I186" s="36" t="n"/>
      <c r="J186" s="37" t="n"/>
    </row>
    <row r="187" ht="15" customHeight="1" s="62">
      <c r="A187" s="54" t="n"/>
      <c r="B187" s="33" t="n"/>
      <c r="C187" s="34" t="n"/>
      <c r="D187" s="34" t="n"/>
      <c r="E187" s="35" t="n"/>
      <c r="F187" s="35" t="n"/>
      <c r="G187" s="41" t="n"/>
      <c r="H187" s="34" t="n"/>
      <c r="I187" s="36" t="n"/>
      <c r="J187" s="37" t="n"/>
    </row>
    <row r="188" ht="15" customHeight="1" s="62">
      <c r="A188" s="54" t="n"/>
      <c r="B188" s="33" t="n"/>
      <c r="C188" s="34" t="n"/>
      <c r="D188" s="34" t="n"/>
      <c r="E188" s="35" t="n"/>
      <c r="F188" s="35" t="n"/>
      <c r="G188" s="41" t="n"/>
      <c r="H188" s="34" t="n"/>
      <c r="I188" s="36" t="n"/>
      <c r="J188" s="37" t="n"/>
    </row>
    <row r="189" ht="15" customHeight="1" s="62">
      <c r="A189" s="54" t="n"/>
      <c r="B189" s="33" t="n"/>
      <c r="C189" s="34" t="n"/>
      <c r="D189" s="34" t="n"/>
      <c r="E189" s="35" t="n"/>
      <c r="F189" s="35" t="n"/>
      <c r="G189" s="41" t="n"/>
      <c r="H189" s="34" t="n"/>
      <c r="I189" s="36" t="n"/>
      <c r="J189" s="37" t="n"/>
    </row>
    <row r="190" ht="15" customHeight="1" s="62">
      <c r="A190" s="54" t="n"/>
      <c r="B190" s="33" t="n"/>
      <c r="C190" s="34" t="n"/>
      <c r="D190" s="34" t="n"/>
      <c r="E190" s="35" t="n"/>
      <c r="F190" s="35" t="n"/>
      <c r="G190" s="41" t="n"/>
      <c r="H190" s="34" t="n"/>
      <c r="I190" s="36" t="n"/>
      <c r="J190" s="37" t="n"/>
    </row>
    <row r="191" ht="15" customHeight="1" s="62">
      <c r="A191" s="54" t="n"/>
      <c r="B191" s="33" t="n"/>
      <c r="C191" s="34" t="n"/>
      <c r="D191" s="34" t="n"/>
      <c r="E191" s="35" t="n"/>
      <c r="F191" s="35" t="n"/>
      <c r="G191" s="41" t="n"/>
      <c r="H191" s="34" t="n"/>
      <c r="I191" s="36" t="n"/>
      <c r="J191" s="37" t="n"/>
    </row>
    <row r="192" ht="15" customHeight="1" s="62">
      <c r="A192" s="54" t="n"/>
      <c r="B192" s="33" t="n"/>
      <c r="C192" s="34" t="n"/>
      <c r="D192" s="34" t="n"/>
      <c r="E192" s="35" t="n"/>
      <c r="F192" s="35" t="n"/>
      <c r="G192" s="41" t="n"/>
      <c r="H192" s="34" t="n"/>
      <c r="I192" s="36" t="n"/>
      <c r="J192" s="37" t="n"/>
    </row>
    <row r="193" ht="15" customHeight="1" s="62">
      <c r="A193" s="54" t="n"/>
      <c r="B193" s="33" t="n"/>
      <c r="C193" s="34" t="n"/>
      <c r="D193" s="34" t="n"/>
      <c r="E193" s="35" t="n"/>
      <c r="F193" s="35" t="n"/>
      <c r="G193" s="41" t="n"/>
      <c r="H193" s="34" t="n"/>
      <c r="I193" s="36" t="n"/>
      <c r="J193" s="37" t="n"/>
    </row>
    <row r="194" ht="15" customHeight="1" s="62">
      <c r="A194" s="54" t="n"/>
      <c r="B194" s="33" t="n"/>
      <c r="C194" s="34" t="n"/>
      <c r="D194" s="34" t="n"/>
      <c r="E194" s="35" t="n"/>
      <c r="F194" s="35" t="n"/>
      <c r="G194" s="41" t="n"/>
      <c r="H194" s="34" t="n"/>
      <c r="I194" s="36" t="n"/>
      <c r="J194" s="37" t="n"/>
    </row>
    <row r="195" ht="15" customHeight="1" s="62">
      <c r="A195" s="54" t="n"/>
      <c r="B195" s="33" t="n"/>
      <c r="C195" s="34" t="n"/>
      <c r="D195" s="34" t="n"/>
      <c r="E195" s="35" t="n"/>
      <c r="F195" s="35" t="n"/>
      <c r="G195" s="41" t="n"/>
      <c r="H195" s="34" t="n"/>
      <c r="I195" s="36" t="n"/>
      <c r="J195" s="37" t="n"/>
    </row>
    <row r="196" ht="15" customHeight="1" s="62">
      <c r="A196" s="54" t="n"/>
      <c r="B196" s="33" t="n"/>
      <c r="C196" s="34" t="n"/>
      <c r="D196" s="34" t="n"/>
      <c r="E196" s="35" t="n"/>
      <c r="F196" s="35" t="n"/>
      <c r="G196" s="41" t="n"/>
      <c r="H196" s="34" t="n"/>
      <c r="I196" s="36" t="n"/>
      <c r="J196" s="37" t="n"/>
    </row>
    <row r="197" ht="15" customHeight="1" s="62">
      <c r="A197" s="54" t="n"/>
      <c r="B197" s="33" t="n"/>
      <c r="C197" s="34" t="n"/>
      <c r="D197" s="34" t="n"/>
      <c r="E197" s="35" t="n"/>
      <c r="F197" s="35" t="n"/>
      <c r="G197" s="41" t="n"/>
      <c r="H197" s="34" t="n"/>
      <c r="I197" s="36" t="n"/>
      <c r="J197" s="37" t="n"/>
    </row>
    <row r="198" ht="15" customHeight="1" s="62">
      <c r="A198" s="54" t="n"/>
      <c r="B198" s="33" t="n"/>
      <c r="C198" s="34" t="n"/>
      <c r="D198" s="34" t="n"/>
      <c r="E198" s="35" t="n"/>
      <c r="F198" s="35" t="n"/>
      <c r="G198" s="41" t="n"/>
      <c r="H198" s="34" t="n"/>
      <c r="I198" s="36" t="n"/>
      <c r="J198" s="37" t="n"/>
    </row>
    <row r="199" ht="15" customHeight="1" s="62">
      <c r="A199" s="54" t="n"/>
      <c r="B199" s="33" t="n"/>
      <c r="C199" s="34" t="n"/>
      <c r="D199" s="34" t="n"/>
      <c r="E199" s="35" t="n"/>
      <c r="F199" s="35" t="n"/>
      <c r="G199" s="41" t="n"/>
      <c r="H199" s="34" t="n"/>
      <c r="I199" s="36" t="n"/>
      <c r="J199" s="37" t="n"/>
    </row>
    <row r="200" ht="15" customHeight="1" s="62">
      <c r="A200" s="54" t="n"/>
      <c r="B200" s="33" t="n"/>
      <c r="C200" s="34" t="n"/>
      <c r="D200" s="34" t="n"/>
      <c r="E200" s="35" t="n"/>
      <c r="F200" s="35" t="n"/>
      <c r="G200" s="41" t="n"/>
      <c r="H200" s="34" t="n"/>
      <c r="I200" s="36" t="n"/>
      <c r="J200" s="37" t="n"/>
    </row>
    <row r="201" ht="15" customHeight="1" s="62">
      <c r="A201" s="54" t="n"/>
      <c r="B201" s="33" t="n"/>
      <c r="C201" s="34" t="n"/>
      <c r="D201" s="34" t="n"/>
      <c r="E201" s="35" t="n"/>
      <c r="F201" s="35" t="n"/>
      <c r="G201" s="41" t="n"/>
      <c r="H201" s="34" t="n"/>
      <c r="I201" s="36" t="n"/>
      <c r="J201" s="37" t="n"/>
    </row>
    <row r="202" ht="15" customHeight="1" s="62">
      <c r="A202" s="54" t="n"/>
      <c r="B202" s="33" t="n"/>
      <c r="C202" s="34" t="n"/>
      <c r="D202" s="34" t="n"/>
      <c r="E202" s="35" t="n"/>
      <c r="F202" s="35" t="n"/>
      <c r="G202" s="41" t="n"/>
      <c r="H202" s="34" t="n"/>
      <c r="I202" s="36" t="n"/>
      <c r="J202" s="37" t="n"/>
    </row>
    <row r="203" ht="15" customHeight="1" s="62">
      <c r="A203" s="54" t="n"/>
      <c r="B203" s="33" t="n"/>
      <c r="C203" s="34" t="n"/>
      <c r="D203" s="34" t="n"/>
      <c r="E203" s="35" t="n"/>
      <c r="F203" s="35" t="n"/>
      <c r="G203" s="41" t="n"/>
      <c r="H203" s="34" t="n"/>
      <c r="I203" s="36" t="n"/>
      <c r="J203" s="37" t="n"/>
    </row>
    <row r="204" ht="15" customHeight="1" s="62">
      <c r="A204" s="54" t="n"/>
      <c r="B204" s="33" t="n"/>
      <c r="C204" s="34" t="n"/>
      <c r="D204" s="34" t="n"/>
      <c r="E204" s="35" t="n"/>
      <c r="F204" s="35" t="n"/>
      <c r="G204" s="41" t="n"/>
      <c r="H204" s="34" t="n"/>
      <c r="I204" s="36" t="n"/>
      <c r="J204" s="37" t="n"/>
    </row>
    <row r="205" ht="15" customHeight="1" s="62">
      <c r="A205" s="54" t="n"/>
      <c r="B205" s="33" t="n"/>
      <c r="C205" s="34" t="n"/>
      <c r="D205" s="34" t="n"/>
      <c r="E205" s="35" t="n"/>
      <c r="F205" s="35" t="n"/>
      <c r="G205" s="41" t="n"/>
      <c r="H205" s="34" t="n"/>
      <c r="I205" s="36" t="n"/>
      <c r="J205" s="37" t="n"/>
    </row>
  </sheetData>
  <mergeCells count="3">
    <mergeCell ref="A1:J1"/>
    <mergeCell ref="A4:J4"/>
    <mergeCell ref="A2:J2"/>
  </mergeCells>
  <conditionalFormatting sqref="A6:H100">
    <cfRule type="expression" priority="9" dxfId="1">
      <formula>$C6="Monthly Rent Charge"</formula>
    </cfRule>
    <cfRule type="expression" priority="11" dxfId="0">
      <formula>$C6="Payment Received"</formula>
    </cfRule>
  </conditionalFormatting>
  <conditionalFormatting sqref="H3">
    <cfRule type="cellIs" priority="16" operator="lessThan" dxfId="3">
      <formula>0</formula>
    </cfRule>
    <cfRule type="cellIs" priority="17" operator="equal" dxfId="3">
      <formula>0</formula>
    </cfRule>
    <cfRule type="cellIs" priority="18" operator="greaterThan" dxfId="2">
      <formula>0</formula>
    </cfRule>
  </conditionalFormatting>
  <conditionalFormatting sqref="I6:I100">
    <cfRule type="cellIs" priority="13" operator="lessThan" dxfId="3">
      <formula>0</formula>
    </cfRule>
    <cfRule type="cellIs" priority="14" operator="equal" dxfId="3">
      <formula>0</formula>
    </cfRule>
    <cfRule type="cellIs" priority="15" operator="greaterThan" dxfId="2">
      <formula>0</formula>
    </cfRule>
  </conditionalFormatting>
  <conditionalFormatting sqref="J6:J100">
    <cfRule type="expression" priority="10" dxfId="1">
      <formula>$C6="Monthly Rent Charge"</formula>
    </cfRule>
    <cfRule type="expression" priority="12" dxfId="0">
      <formula>$C6="Payment Received"</formula>
    </cfRule>
  </conditionalFormatting>
  <dataValidations count="3">
    <dataValidation sqref="B6:B41" showDropDown="0" showInputMessage="0" showErrorMessage="0" allowBlank="1" type="list">
      <formula1>"January,February,March,April,May,June,July,August,September,October,November,December"</formula1>
      <formula2>0</formula2>
    </dataValidation>
    <dataValidation sqref="C6:C41" showDropDown="0" showInputMessage="0" showErrorMessage="0" allowBlank="1" type="list">
      <formula1>"Monthly Rent Charge,Payment Received"</formula1>
      <formula2>0</formula2>
    </dataValidation>
    <dataValidation sqref="A6:A205" showDropDown="0" showInputMessage="1" showErrorMessage="1" allowBlank="1" errorTitle="Invalid date" error="Please enter a valid date." promptTitle="Select a date" prompt="Use the date picker or enter a valid payment date here." type="date">
      <formula1>DATE(2000,1,1)</formula1>
      <formula2>DATE(2100,12,31)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2026-08-02T08:16:21Z</dcterms:created>
  <dcterms:modified xmlns:dcterms="http://purl.org/dc/terms/" xmlns:xsi="http://www.w3.org/2001/XMLSchema-instance" xsi:type="dcterms:W3CDTF">2026-10-19T13:57:30Z</dcterms:modified>
  <cp:lastModifiedBy>Steve Gitau</cp:lastModifiedBy>
  <cp:revision>0</cp:revision>
  <cp:lastPrinted>2026-08-10T17:37:38Z</cp:lastPrinted>
</cp:coreProperties>
</file>